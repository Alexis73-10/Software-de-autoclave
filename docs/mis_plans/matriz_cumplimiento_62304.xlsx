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IEC 62304" sheetId="2" state="visible" r:id="rId4"/>
    <sheet name="Trazabilidad" sheetId="3" state="visible" r:id="rId5"/>
    <sheet name="SOUP" sheetId="4" state="visible" r:id="rId6"/>
    <sheet name="Decisiones" sheetId="5" state="visible" r:id="rId7"/>
  </sheets>
  <definedNames>
    <definedName function="false" hidden="true" localSheetId="1" name="_xlnm._FilterDatabase" vbProcedure="false">'IEC 62304'!$A$1:$J$118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<sst xmlns="http://schemas.openxmlformats.org/spreadsheetml/2006/main" count="831" uniqueCount="462">
  <si>
    <t xml:space="preserve">Matriz de cumplimiento NTC-IEC 62304:2019 (IDT IEC 62304:2006) — Software de Autoclave</t>
  </si>
  <si>
    <t xml:space="preserve">Clase de seguridad declarada: C (todas las cláusulas aplican, Tabla A.1). Estado: BORRADOR — solo se han cargado hallazgos con evidencia declarada; el resto está 'No evaluado'.</t>
  </si>
  <si>
    <t xml:space="preserve">Leyenda: celdas con fondo amarillo = editables (hoja 'IEC 62304': Estado, Evidencia, Observaciones, Severidad, ID hallazgo). Estado y Severidad usan lista desplegable.</t>
  </si>
  <si>
    <t xml:space="preserve">Estado</t>
  </si>
  <si>
    <t xml:space="preserve">Cantidad</t>
  </si>
  <si>
    <t xml:space="preserve">% del total</t>
  </si>
  <si>
    <t xml:space="preserve">Cumple</t>
  </si>
  <si>
    <t xml:space="preserve">Parcial</t>
  </si>
  <si>
    <t xml:space="preserve">No cumple</t>
  </si>
  <si>
    <t xml:space="preserve">No evaluado</t>
  </si>
  <si>
    <t xml:space="preserve">Excluido (justificado)</t>
  </si>
  <si>
    <t xml:space="preserve">Total</t>
  </si>
  <si>
    <t xml:space="preserve">Control: filas en matriz</t>
  </si>
  <si>
    <t xml:space="preserve">Hallazgos severidad Crítica</t>
  </si>
  <si>
    <t xml:space="preserve">ID</t>
  </si>
  <si>
    <t xml:space="preserve">Cláusula NTC</t>
  </si>
  <si>
    <t xml:space="preserve">Requisito (resumen)</t>
  </si>
  <si>
    <t xml:space="preserve">Clase</t>
  </si>
  <si>
    <t xml:space="preserve">Evidencia revisada</t>
  </si>
  <si>
    <t xml:space="preserve">Observaciones</t>
  </si>
  <si>
    <t xml:space="preserve">Severidad</t>
  </si>
  <si>
    <t xml:space="preserve">Tipo</t>
  </si>
  <si>
    <t xml:space="preserve">ID hallazgo</t>
  </si>
  <si>
    <t xml:space="preserve">62304-4.1</t>
  </si>
  <si>
    <t xml:space="preserve">4.1</t>
  </si>
  <si>
    <t xml:space="preserve">Demostrar capacidad de proveer software que satisfaga requisitos del cliente y reglamentarios (SGC)</t>
  </si>
  <si>
    <t xml:space="preserve">C</t>
  </si>
  <si>
    <t xml:space="preserve">SGC existe pero sus documentos aún no se han entregado (prometidos para 2026-10-08). Evaluar al recibirlos.</t>
  </si>
  <si>
    <t xml:space="preserve">Doc</t>
  </si>
  <si>
    <t xml:space="preserve">62304-4.2</t>
  </si>
  <si>
    <t xml:space="preserve">4.2</t>
  </si>
  <si>
    <t xml:space="preserve">Aplicar un proceso de gestión de riesgos conforme a ISO 14971</t>
  </si>
  <si>
    <t xml:space="preserve">Declaración de Cristian (2026-10-07): no existe fichero de gestión de riesgos.</t>
  </si>
  <si>
    <t xml:space="preserve">Clase C declarada sin proceso ISO 14971 evidenciado. Propuesta de severidad, validar.</t>
  </si>
  <si>
    <t xml:space="preserve">Crítica</t>
  </si>
  <si>
    <t xml:space="preserve">NRM-01</t>
  </si>
  <si>
    <t xml:space="preserve">62304-4.3ab</t>
  </si>
  <si>
    <t xml:space="preserve">4.3 a/b</t>
  </si>
  <si>
    <t xml:space="preserve">Asignar clase de seguridad (A/B/C) a cada sistema software y a los que implementan medidas de control</t>
  </si>
  <si>
    <t xml:space="preserve">62304-4.3c</t>
  </si>
  <si>
    <t xml:space="preserve">4.3 c</t>
  </si>
  <si>
    <t xml:space="preserve">Documentar la clase de seguridad asignada en el fichero de gestión de riesgos</t>
  </si>
  <si>
    <t xml:space="preserve">Sin fichero donde documentar la clase.</t>
  </si>
  <si>
    <t xml:space="preserve">62304-4.3de</t>
  </si>
  <si>
    <t xml:space="preserve">4.3 d/e</t>
  </si>
  <si>
    <t xml:space="preserve">Herencia de clase en la descomposición; justificar y documentar clases distintas por elemento</t>
  </si>
  <si>
    <t xml:space="preserve">62304-4.3f</t>
  </si>
  <si>
    <t xml:space="preserve">4.3 f</t>
  </si>
  <si>
    <t xml:space="preserve">Aplicar proceso de la clase más alta a grupos de elementos salvo justificación documentada</t>
  </si>
  <si>
    <t xml:space="preserve">62304-4.3g</t>
  </si>
  <si>
    <t xml:space="preserve">4.3 g</t>
  </si>
  <si>
    <t xml:space="preserve">Aplicar requisitos de Clase C hasta asignar clase</t>
  </si>
  <si>
    <t xml:space="preserve">62304-5.1.1</t>
  </si>
  <si>
    <t xml:space="preserve">5.1.1</t>
  </si>
  <si>
    <t xml:space="preserve">Plan de desarrollo (procesos, entregables, trazabilidad, configuración/SOUP, resolución de problemas)</t>
  </si>
  <si>
    <t xml:space="preserve">62304-5.1.2</t>
  </si>
  <si>
    <t xml:space="preserve">5.1.2</t>
  </si>
  <si>
    <t xml:space="preserve">Mantener actualizado el plan de desarrollo</t>
  </si>
  <si>
    <t xml:space="preserve">62304-5.1.3</t>
  </si>
  <si>
    <t xml:space="preserve">5.1.3</t>
  </si>
  <si>
    <t xml:space="preserve">Referenciar requisitos del sistema; coordinación y validación del diseño en el plan</t>
  </si>
  <si>
    <t xml:space="preserve">62304-5.1.4</t>
  </si>
  <si>
    <t xml:space="preserve">5.1.4</t>
  </si>
  <si>
    <t xml:space="preserve">Incluir/referenciar normas, métodos y herramientas para elementos Clase C</t>
  </si>
  <si>
    <t xml:space="preserve">62304-5.1.5</t>
  </si>
  <si>
    <t xml:space="preserve">5.1.5</t>
  </si>
  <si>
    <t xml:space="preserve">Plan de integración y ensayos de integración (incluye SOUP)</t>
  </si>
  <si>
    <t xml:space="preserve">62304-5.1.6</t>
  </si>
  <si>
    <t xml:space="preserve">5.1.6</t>
  </si>
  <si>
    <t xml:space="preserve">Plan de verificación: entregables, tareas, hitos, criterios de aceptación</t>
  </si>
  <si>
    <t xml:space="preserve">62304-5.1.7</t>
  </si>
  <si>
    <t xml:space="preserve">5.1.7</t>
  </si>
  <si>
    <t xml:space="preserve">Plan de gestión de riesgos del software (incluye SOUP)</t>
  </si>
  <si>
    <t xml:space="preserve">62304-5.1.8</t>
  </si>
  <si>
    <t xml:space="preserve">5.1.8</t>
  </si>
  <si>
    <t xml:space="preserve">Planificación de la documentación (título, objetivo, audiencia, responsables)</t>
  </si>
  <si>
    <t xml:space="preserve">62304-5.1.9</t>
  </si>
  <si>
    <t xml:space="preserve">5.1.9</t>
  </si>
  <si>
    <t xml:space="preserve">Planificación de gestión de configuración (clases de elementos, actividades, organización, relaciones)</t>
  </si>
  <si>
    <t xml:space="preserve">62304-5.1.10</t>
  </si>
  <si>
    <t xml:space="preserve">5.1.10</t>
  </si>
  <si>
    <t xml:space="preserve">Controlar elementos de soporte (herramientas, ajustes de entorno de desarrollo)</t>
  </si>
  <si>
    <t xml:space="preserve">Doc/Código</t>
  </si>
  <si>
    <t xml:space="preserve">62304-5.1.11</t>
  </si>
  <si>
    <t xml:space="preserve">5.1.11</t>
  </si>
  <si>
    <t xml:space="preserve">Poner elementos de configuración bajo control antes de verificarlos</t>
  </si>
  <si>
    <t xml:space="preserve">62304-5.2.1</t>
  </si>
  <si>
    <t xml:space="preserve">5.2.1</t>
  </si>
  <si>
    <t xml:space="preserve">Definir y documentar requisitos software a partir de requisitos del sistema</t>
  </si>
  <si>
    <t xml:space="preserve">62304-5.2.2a</t>
  </si>
  <si>
    <t xml:space="preserve">5.2.2 a</t>
  </si>
  <si>
    <t xml:space="preserve">Requisitos funcionales y de capacidad (funciones, temporización, plataforma, SO, entorno, SOUP)</t>
  </si>
  <si>
    <t xml:space="preserve">62304-5.2.2b</t>
  </si>
  <si>
    <t xml:space="preserve">5.2.2 b</t>
  </si>
  <si>
    <t xml:space="preserve">Entradas y salidas: tipos de datos, rangos, límites, valores por defecto</t>
  </si>
  <si>
    <t xml:space="preserve">62304-5.2.2c</t>
  </si>
  <si>
    <t xml:space="preserve">5.2.2 c</t>
  </si>
  <si>
    <t xml:space="preserve">Interfaces entre el sistema software y otros sistemas</t>
  </si>
  <si>
    <t xml:space="preserve">62304-5.2.2d</t>
  </si>
  <si>
    <t xml:space="preserve">5.2.2 d</t>
  </si>
  <si>
    <t xml:space="preserve">Alarmas, advertencias y mensajes al operador</t>
  </si>
  <si>
    <t xml:space="preserve">62304-5.2.2e</t>
  </si>
  <si>
    <t xml:space="preserve">5.2.2 e</t>
  </si>
  <si>
    <t xml:space="preserve">Requisitos de seguridad de la información (autenticación, autorización, auditoría, información sensible)</t>
  </si>
  <si>
    <t xml:space="preserve">62304-5.2.2f</t>
  </si>
  <si>
    <t xml:space="preserve">5.2.2 f</t>
  </si>
  <si>
    <t xml:space="preserve">Requisitos de usabilidad sensibles a errores humanos y formación</t>
  </si>
  <si>
    <t xml:space="preserve">62304-5.2.2g</t>
  </si>
  <si>
    <t xml:space="preserve">5.2.2 g</t>
  </si>
  <si>
    <t xml:space="preserve">Definición de datos y requisitos de base de datos</t>
  </si>
  <si>
    <t xml:space="preserve">62304-5.2.2h</t>
  </si>
  <si>
    <t xml:space="preserve">5.2.2 h</t>
  </si>
  <si>
    <t xml:space="preserve">Requisitos de instalación y aceptación en el sitio</t>
  </si>
  <si>
    <t xml:space="preserve">62304-5.2.2i</t>
  </si>
  <si>
    <t xml:space="preserve">5.2.2 i</t>
  </si>
  <si>
    <t xml:space="preserve">Requisitos de métodos de funcionamiento y mantenimiento</t>
  </si>
  <si>
    <t xml:space="preserve">62304-5.2.2j</t>
  </si>
  <si>
    <t xml:space="preserve">5.2.2 j</t>
  </si>
  <si>
    <t xml:space="preserve">Documentación de usuario a desarrollar</t>
  </si>
  <si>
    <t xml:space="preserve">62304-5.2.2k</t>
  </si>
  <si>
    <t xml:space="preserve">5.2.2 k</t>
  </si>
  <si>
    <t xml:space="preserve">Requisitos de mantenimiento por el usuario</t>
  </si>
  <si>
    <t xml:space="preserve">62304-5.2.2l</t>
  </si>
  <si>
    <t xml:space="preserve">5.2.2 l</t>
  </si>
  <si>
    <t xml:space="preserve">Requisitos reglamentarios</t>
  </si>
  <si>
    <t xml:space="preserve">62304-5.2.3</t>
  </si>
  <si>
    <t xml:space="preserve">5.2.3</t>
  </si>
  <si>
    <t xml:space="preserve">Incluir en los requisitos las medidas de control de riesgo implementadas en software</t>
  </si>
  <si>
    <t xml:space="preserve">62304-5.2.4</t>
  </si>
  <si>
    <t xml:space="preserve">5.2.4</t>
  </si>
  <si>
    <t xml:space="preserve">Reevaluar el análisis de riesgos del dispositivo al establecer/actualizar requisitos software</t>
  </si>
  <si>
    <t xml:space="preserve">62304-5.2.5</t>
  </si>
  <si>
    <t xml:space="preserve">5.2.5</t>
  </si>
  <si>
    <t xml:space="preserve">Reevaluar y actualizar requisitos del sistema según el análisis de requisitos software</t>
  </si>
  <si>
    <t xml:space="preserve">62304-5.2.6</t>
  </si>
  <si>
    <t xml:space="preserve">5.2.6</t>
  </si>
  <si>
    <t xml:space="preserve">Verificar requisitos: implementan req. del sistema, sin contradicción, sin ambigüedad, comprobables, identificables, trazables</t>
  </si>
  <si>
    <t xml:space="preserve">62304-5.3.1</t>
  </si>
  <si>
    <t xml:space="preserve">5.3.1</t>
  </si>
  <si>
    <t xml:space="preserve">Convertir requisitos software en arquitectura documentada que identifique elementos software</t>
  </si>
  <si>
    <t xml:space="preserve">62304-5.3.2</t>
  </si>
  <si>
    <t xml:space="preserve">5.3.2</t>
  </si>
  <si>
    <t xml:space="preserve">Arquitectura de interfaces entre elementos software y con componentes externos (SW y HW)</t>
  </si>
  <si>
    <t xml:space="preserve">62304-5.3.3</t>
  </si>
  <si>
    <t xml:space="preserve">5.3.3</t>
  </si>
  <si>
    <t xml:space="preserve">Especificar requisitos funcionales y de ejecución de cada SOUP</t>
  </si>
  <si>
    <t xml:space="preserve">62304-5.3.4</t>
  </si>
  <si>
    <t xml:space="preserve">5.3.4</t>
  </si>
  <si>
    <t xml:space="preserve">Especificar hardware y software de sistema requerido por cada SOUP</t>
  </si>
  <si>
    <t xml:space="preserve">62304-5.3.5</t>
  </si>
  <si>
    <t xml:space="preserve">5.3.5</t>
  </si>
  <si>
    <t xml:space="preserve">Identificar segregación esencial para control de riesgo y cómo se asegura su efectividad</t>
  </si>
  <si>
    <t xml:space="preserve">62304-5.3.6</t>
  </si>
  <si>
    <t xml:space="preserve">5.3.6</t>
  </si>
  <si>
    <t xml:space="preserve">Verificar arquitectura: implementa requisitos, soporta interfaces, soporta SOUP</t>
  </si>
  <si>
    <t xml:space="preserve">62304-5.4.1</t>
  </si>
  <si>
    <t xml:space="preserve">5.4.1</t>
  </si>
  <si>
    <t xml:space="preserve">Refinar la arquitectura hasta unidades software</t>
  </si>
  <si>
    <t xml:space="preserve">62304-5.4.2</t>
  </si>
  <si>
    <t xml:space="preserve">5.4.2</t>
  </si>
  <si>
    <t xml:space="preserve">Diseño detallado documentado para cada unidad software</t>
  </si>
  <si>
    <t xml:space="preserve">62304-5.4.3</t>
  </si>
  <si>
    <t xml:space="preserve">5.4.3</t>
  </si>
  <si>
    <t xml:space="preserve">Diseño detallado de interfaces entre unidades y con componentes externos</t>
  </si>
  <si>
    <t xml:space="preserve">62304-5.4.4</t>
  </si>
  <si>
    <t xml:space="preserve">5.4.4</t>
  </si>
  <si>
    <t xml:space="preserve">Verificar diseño detallado: implementa arquitectura y sin contradicciones</t>
  </si>
  <si>
    <t xml:space="preserve">62304-5.5.1</t>
  </si>
  <si>
    <t xml:space="preserve">5.5.1</t>
  </si>
  <si>
    <t xml:space="preserve">Implementar cada unidad software</t>
  </si>
  <si>
    <t xml:space="preserve">Código</t>
  </si>
  <si>
    <t xml:space="preserve">62304-5.5.2</t>
  </si>
  <si>
    <t xml:space="preserve">5.5.2</t>
  </si>
  <si>
    <t xml:space="preserve">Establecer estrategias, métodos y procedimientos de verificación de unidad; evaluar procedimientos de ensayo</t>
  </si>
  <si>
    <t xml:space="preserve">62304-5.5.3</t>
  </si>
  <si>
    <t xml:space="preserve">5.5.3</t>
  </si>
  <si>
    <t xml:space="preserve">Establecer criterios de aceptación de unidad antes de integrar y asegurar su cumplimiento</t>
  </si>
  <si>
    <t xml:space="preserve">62304-5.5.4a</t>
  </si>
  <si>
    <t xml:space="preserve">5.5.4 a</t>
  </si>
  <si>
    <t xml:space="preserve">Criterio adicional: secuencia apropiada de eventos</t>
  </si>
  <si>
    <t xml:space="preserve">62304-5.5.4b</t>
  </si>
  <si>
    <t xml:space="preserve">5.5.4 b</t>
  </si>
  <si>
    <t xml:space="preserve">Criterio adicional: flujo de datos y control</t>
  </si>
  <si>
    <t xml:space="preserve">62304-5.5.4c</t>
  </si>
  <si>
    <t xml:space="preserve">5.5.4 c</t>
  </si>
  <si>
    <t xml:space="preserve">Criterio adicional: distribución de recursos planeados</t>
  </si>
  <si>
    <t xml:space="preserve">62304-5.5.4d</t>
  </si>
  <si>
    <t xml:space="preserve">5.5.4 d</t>
  </si>
  <si>
    <t xml:space="preserve">Criterio adicional: manejo de fallos (definición de error, aislamiento y recuperación)</t>
  </si>
  <si>
    <t xml:space="preserve">62304-5.5.4e</t>
  </si>
  <si>
    <t xml:space="preserve">5.5.4 e</t>
  </si>
  <si>
    <t xml:space="preserve">Criterio adicional: inicialización de variables</t>
  </si>
  <si>
    <t xml:space="preserve">62304-5.5.4f</t>
  </si>
  <si>
    <t xml:space="preserve">5.5.4 f</t>
  </si>
  <si>
    <t xml:space="preserve">Criterio adicional: autodiagnóstico</t>
  </si>
  <si>
    <t xml:space="preserve">62304-5.5.4g</t>
  </si>
  <si>
    <t xml:space="preserve">5.5.4 g</t>
  </si>
  <si>
    <t xml:space="preserve">Criterio adicional: gestión de memoria y desbordamiento</t>
  </si>
  <si>
    <t xml:space="preserve">62304-5.5.4h</t>
  </si>
  <si>
    <t xml:space="preserve">5.5.4 h</t>
  </si>
  <si>
    <t xml:space="preserve">Criterio adicional: condiciones límite</t>
  </si>
  <si>
    <t xml:space="preserve">62304-5.5.5</t>
  </si>
  <si>
    <t xml:space="preserve">5.5.5</t>
  </si>
  <si>
    <t xml:space="preserve">Verificar unidades y documentar resultados</t>
  </si>
  <si>
    <t xml:space="preserve">62304-5.6.1</t>
  </si>
  <si>
    <t xml:space="preserve">5.6.1</t>
  </si>
  <si>
    <t xml:space="preserve">Integrar unidades según el plan de integración</t>
  </si>
  <si>
    <t xml:space="preserve">62304-5.6.2</t>
  </si>
  <si>
    <t xml:space="preserve">5.6.2</t>
  </si>
  <si>
    <t xml:space="preserve">Verificar y registrar la integración (unidades en elementos; HW, SW y operación manual en el sistema)</t>
  </si>
  <si>
    <t xml:space="preserve">62304-5.6.3</t>
  </si>
  <si>
    <t xml:space="preserve">5.6.3</t>
  </si>
  <si>
    <t xml:space="preserve">Ensayar elementos integrados según plan y documentar resultados</t>
  </si>
  <si>
    <t xml:space="preserve">62304-5.6.4</t>
  </si>
  <si>
    <t xml:space="preserve">5.6.4</t>
  </si>
  <si>
    <t xml:space="preserve">Contenido de ensayos de integración (funcionalidad, medidas de control, sincronización, interfaces, condiciones anormales)</t>
  </si>
  <si>
    <t xml:space="preserve">62304-5.6.5</t>
  </si>
  <si>
    <t xml:space="preserve">5.6.5</t>
  </si>
  <si>
    <t xml:space="preserve">Evaluar corrección de los procedimientos de ensayo de integración</t>
  </si>
  <si>
    <t xml:space="preserve">62304-5.6.6</t>
  </si>
  <si>
    <t xml:space="preserve">5.6.6</t>
  </si>
  <si>
    <t xml:space="preserve">Ensayos de regresión al integrar elementos</t>
  </si>
  <si>
    <t xml:space="preserve">62304-5.6.7</t>
  </si>
  <si>
    <t xml:space="preserve">5.6.7</t>
  </si>
  <si>
    <t xml:space="preserve">Registros de ensayos de integración: resultado, repetibilidad, persona que ensaya</t>
  </si>
  <si>
    <t xml:space="preserve">62304-5.6.8</t>
  </si>
  <si>
    <t xml:space="preserve">5.6.8</t>
  </si>
  <si>
    <t xml:space="preserve">Introducir anomalías de integración en el proceso de resolución de problemas</t>
  </si>
  <si>
    <t xml:space="preserve">62304-5.7.1</t>
  </si>
  <si>
    <t xml:space="preserve">5.7.1</t>
  </si>
  <si>
    <t xml:space="preserve">Ensayos del sistema que cubran todos los requisitos software (pasa/falla)</t>
  </si>
  <si>
    <t xml:space="preserve">62304-5.7.2</t>
  </si>
  <si>
    <t xml:space="preserve">5.7.2</t>
  </si>
  <si>
    <t xml:space="preserve">Introducir anomalías de ensayos de sistema en resolución de problemas</t>
  </si>
  <si>
    <t xml:space="preserve">62304-5.7.3</t>
  </si>
  <si>
    <t xml:space="preserve">5.7.3</t>
  </si>
  <si>
    <t xml:space="preserve">Reensayo tras cambios: repetir, efectos secundarios, actividades de riesgo (7.4)</t>
  </si>
  <si>
    <t xml:space="preserve">62304-5.7.4</t>
  </si>
  <si>
    <t xml:space="preserve">5.7.4</t>
  </si>
  <si>
    <t xml:space="preserve">Verificar ensayos de sistema: estrategia adecuada, trazables a requisitos, todos ensayados, resultados pasan</t>
  </si>
  <si>
    <t xml:space="preserve">62304-5.7.5</t>
  </si>
  <si>
    <t xml:space="preserve">5.7.5</t>
  </si>
  <si>
    <t xml:space="preserve">Registros de ensayos de sistema: resultados, repetibilidad, persona que ensaya</t>
  </si>
  <si>
    <t xml:space="preserve">62304-5.8.1</t>
  </si>
  <si>
    <t xml:space="preserve">5.8.1</t>
  </si>
  <si>
    <t xml:space="preserve">Asegurar que la verificación se completó y se evaluaron resultados antes de liberar</t>
  </si>
  <si>
    <t xml:space="preserve">62304-5.8.2</t>
  </si>
  <si>
    <t xml:space="preserve">5.8.2</t>
  </si>
  <si>
    <t xml:space="preserve">Documentar anomalías residuales conocidas</t>
  </si>
  <si>
    <t xml:space="preserve">62304-5.8.3</t>
  </si>
  <si>
    <t xml:space="preserve">5.8.3</t>
  </si>
  <si>
    <t xml:space="preserve">Evaluar anomalías residuales para garantizar que no contribuyen a riesgo inaceptable</t>
  </si>
  <si>
    <t xml:space="preserve">62304-5.8.4</t>
  </si>
  <si>
    <t xml:space="preserve">5.8.4</t>
  </si>
  <si>
    <t xml:space="preserve">Documentar la versión liberada</t>
  </si>
  <si>
    <t xml:space="preserve">Paquete 3.1-E: 0.5.0 en pyproject.toml:7; leída en runtime en cycle_logger.py:37-44 e info_equipo.py:35-39</t>
  </si>
  <si>
    <t xml:space="preserve">Versión declarada y registrada en el ciclo, pero sin tag ni registro de liberación; correspondencia con dist/ NO VERIFICADO.</t>
  </si>
  <si>
    <t xml:space="preserve">Media</t>
  </si>
  <si>
    <t xml:space="preserve">NRM-03</t>
  </si>
  <si>
    <t xml:space="preserve">62304-5.8.5</t>
  </si>
  <si>
    <t xml:space="preserve">5.8.5</t>
  </si>
  <si>
    <t xml:space="preserve">Documentar procedimiento y entorno usados para crear el software liberado</t>
  </si>
  <si>
    <t xml:space="preserve">62304-5.8.6</t>
  </si>
  <si>
    <t xml:space="preserve">5.8.6</t>
  </si>
  <si>
    <t xml:space="preserve">Asegurar que actividades y tareas se completaron con su documentación</t>
  </si>
  <si>
    <t xml:space="preserve">62304-5.8.7</t>
  </si>
  <si>
    <t xml:space="preserve">5.8.7</t>
  </si>
  <si>
    <t xml:space="preserve">Archivar producto, elementos de configuración y documentación (≥ vida del dispositivo o requisito reglamentario)</t>
  </si>
  <si>
    <t xml:space="preserve">62304-5.8.8</t>
  </si>
  <si>
    <t xml:space="preserve">5.8.8</t>
  </si>
  <si>
    <t xml:space="preserve">Procedimientos que aseguren reproducibilidad de la entrega sin alteración (replicación, etiquetado, embalaje, etc.)</t>
  </si>
  <si>
    <t xml:space="preserve">62304-6.1</t>
  </si>
  <si>
    <t xml:space="preserve">6.1</t>
  </si>
  <si>
    <t xml:space="preserve">Plan de mantenimiento (retroalimentación, criterio de problema, gestión de riesgos, configuración, mejoras, obsolescencia SOUP)</t>
  </si>
  <si>
    <t xml:space="preserve">62304-6.2.1.1</t>
  </si>
  <si>
    <t xml:space="preserve">6.2.1.1</t>
  </si>
  <si>
    <t xml:space="preserve">Controlar retroalimentación sobre el producto liberado (interna y de usuarios)</t>
  </si>
  <si>
    <t xml:space="preserve">62304-6.2.1.2</t>
  </si>
  <si>
    <t xml:space="preserve">6.2.1.2</t>
  </si>
  <si>
    <t xml:space="preserve">Documentar y evaluar retroalimentación; registrar problemas como informe de problema</t>
  </si>
  <si>
    <t xml:space="preserve">62304-6.2.1.3</t>
  </si>
  <si>
    <t xml:space="preserve">6.2.1.3</t>
  </si>
  <si>
    <t xml:space="preserve">Evaluar influencia de cada informe de problema sobre la seguridad</t>
  </si>
  <si>
    <t xml:space="preserve">62304-6.2.2</t>
  </si>
  <si>
    <t xml:space="preserve">6.2.2</t>
  </si>
  <si>
    <t xml:space="preserve">Usar el proceso de resolución de problemas para tratar informes</t>
  </si>
  <si>
    <t xml:space="preserve">62304-6.2.3</t>
  </si>
  <si>
    <t xml:space="preserve">6.2.3</t>
  </si>
  <si>
    <t xml:space="preserve">Analizar cada solicitud de cambio (organización, productos liberados, sistemas relacionados)</t>
  </si>
  <si>
    <t xml:space="preserve">62304-6.2.4</t>
  </si>
  <si>
    <t xml:space="preserve">6.2.4</t>
  </si>
  <si>
    <t xml:space="preserve">Evaluar y aprobar solicitudes de cambio sobre productos liberados</t>
  </si>
  <si>
    <t xml:space="preserve">62304-6.2.5</t>
  </si>
  <si>
    <t xml:space="preserve">6.2.5</t>
  </si>
  <si>
    <t xml:space="preserve">Comunicar a usuarios y reguladores problemas y cambios disponibles</t>
  </si>
  <si>
    <t xml:space="preserve">62304-6.3.1</t>
  </si>
  <si>
    <t xml:space="preserve">6.3.1</t>
  </si>
  <si>
    <t xml:space="preserve">Usar proceso de desarrollo o mantenimiento establecido para implementar modificaciones</t>
  </si>
  <si>
    <t xml:space="preserve">62304-6.3.2</t>
  </si>
  <si>
    <t xml:space="preserve">6.3.2</t>
  </si>
  <si>
    <t xml:space="preserve">Liberar sistemas modificados conforme a 5.8</t>
  </si>
  <si>
    <t xml:space="preserve">62304-7.1.1</t>
  </si>
  <si>
    <t xml:space="preserve">7.1.1</t>
  </si>
  <si>
    <t xml:space="preserve">Identificar elementos software que podrían contribuir a una situación peligrosa</t>
  </si>
  <si>
    <t xml:space="preserve">62304-7.1.2</t>
  </si>
  <si>
    <t xml:space="preserve">7.1.2</t>
  </si>
  <si>
    <t xml:space="preserve">Identificar causas potenciales (especificación, defectos, SOUP, hardware, mal uso previsible)</t>
  </si>
  <si>
    <t xml:space="preserve">62304-7.1.3</t>
  </si>
  <si>
    <t xml:space="preserve">7.1.3</t>
  </si>
  <si>
    <t xml:space="preserve">Evaluar listas publicadas de anomalías del SOUP</t>
  </si>
  <si>
    <t xml:space="preserve">62304-7.1.4</t>
  </si>
  <si>
    <t xml:space="preserve">7.1.4</t>
  </si>
  <si>
    <t xml:space="preserve">Documentar causas potenciales en el fichero de gestión de riesgos</t>
  </si>
  <si>
    <t xml:space="preserve">Sin fichero donde documentar causas.</t>
  </si>
  <si>
    <t xml:space="preserve">62304-7.1.5</t>
  </si>
  <si>
    <t xml:space="preserve">7.1.5</t>
  </si>
  <si>
    <t xml:space="preserve">Documentar secuencias de eventos que podrían generar situación peligrosa</t>
  </si>
  <si>
    <t xml:space="preserve">Sin fichero donde documentar secuencias de eventos.</t>
  </si>
  <si>
    <t xml:space="preserve">62304-7.2.1</t>
  </si>
  <si>
    <t xml:space="preserve">7.2.1</t>
  </si>
  <si>
    <t xml:space="preserve">Definir y documentar medidas de control para cada causa potencial</t>
  </si>
  <si>
    <t xml:space="preserve">Sin causas documentadas a las que asignar medidas.</t>
  </si>
  <si>
    <t xml:space="preserve">62304-7.2.2</t>
  </si>
  <si>
    <t xml:space="preserve">7.2.2</t>
  </si>
  <si>
    <t xml:space="preserve">Medidas implementadas en software: incluirlas en requisitos, designar clase, desarrollar conforme a 5</t>
  </si>
  <si>
    <t xml:space="preserve">62304-7.3.1</t>
  </si>
  <si>
    <t xml:space="preserve">7.3.1</t>
  </si>
  <si>
    <t xml:space="preserve">Verificar cada medida de control de riesgo y documentarlo</t>
  </si>
  <si>
    <t xml:space="preserve">62304-7.3.2</t>
  </si>
  <si>
    <t xml:space="preserve">7.3.2</t>
  </si>
  <si>
    <t xml:space="preserve">Documentar nuevas secuencias de eventos introducidas por las medidas de control</t>
  </si>
  <si>
    <t xml:space="preserve">62304-7.3.3</t>
  </si>
  <si>
    <t xml:space="preserve">7.3.3</t>
  </si>
  <si>
    <t xml:space="preserve">Trazabilidad: situación peligrosa → elemento → causa → medida → verificación</t>
  </si>
  <si>
    <t xml:space="preserve">Sin trazabilidad de peligros posible.</t>
  </si>
  <si>
    <t xml:space="preserve">62304-7.4.1</t>
  </si>
  <si>
    <t xml:space="preserve">7.4.1</t>
  </si>
  <si>
    <t xml:space="preserve">Analizar cambios (incl. SOUP): causas adicionales y medidas adicionales</t>
  </si>
  <si>
    <t xml:space="preserve">62304-7.4.2</t>
  </si>
  <si>
    <t xml:space="preserve">7.4.2</t>
  </si>
  <si>
    <t xml:space="preserve">Analizar impacto de cambios sobre medidas de control existentes</t>
  </si>
  <si>
    <t xml:space="preserve">62304-7.4.3</t>
  </si>
  <si>
    <t xml:space="preserve">7.4.3</t>
  </si>
  <si>
    <t xml:space="preserve">Realizar actividades de gestión de riesgos según el análisis (7.1–7.3)</t>
  </si>
  <si>
    <t xml:space="preserve">62304-8.1.1</t>
  </si>
  <si>
    <t xml:space="preserve">8.1.1</t>
  </si>
  <si>
    <t xml:space="preserve">Esquema de identificación única de elementos de configuración y versiones</t>
  </si>
  <si>
    <t xml:space="preserve">Paquete 3.1-E: version = "0.5.0" en pyproject.toml:7 (única fuente); sin tags (git tag -l vacío)</t>
  </si>
  <si>
    <t xml:space="preserve">No se evidencia esquema documentado de identificación única de elementos de configuración, SOUP ni documentos.</t>
  </si>
  <si>
    <t xml:space="preserve">62304-8.1.2</t>
  </si>
  <si>
    <t xml:space="preserve">8.1.2</t>
  </si>
  <si>
    <t xml:space="preserve">Identificar SOUP: título, fabricante, designación única</t>
  </si>
  <si>
    <t xml:space="preserve">62304-8.1.3</t>
  </si>
  <si>
    <t xml:space="preserve">8.1.3</t>
  </si>
  <si>
    <t xml:space="preserve">Documentar elementos de configuración y versiones que componen el sistema</t>
  </si>
  <si>
    <t xml:space="preserve">62304-8.2.1</t>
  </si>
  <si>
    <t xml:space="preserve">8.2.1</t>
  </si>
  <si>
    <t xml:space="preserve">Cambiar elementos de configuración solo en respuesta a solicitud de cambio aprobada</t>
  </si>
  <si>
    <t xml:space="preserve">62304-8.2.2</t>
  </si>
  <si>
    <t xml:space="preserve">8.2.2</t>
  </si>
  <si>
    <t xml:space="preserve">Implementar cambios según solicitud; repetir actividades afectadas (incl. cambio de clase)</t>
  </si>
  <si>
    <t xml:space="preserve">62304-8.2.3</t>
  </si>
  <si>
    <t xml:space="preserve">8.2.3</t>
  </si>
  <si>
    <t xml:space="preserve">Verificar modificaciones y repetir verificaciones invalidadas</t>
  </si>
  <si>
    <t xml:space="preserve">62304-8.2.4</t>
  </si>
  <si>
    <t xml:space="preserve">8.2.4</t>
  </si>
  <si>
    <t xml:space="preserve">Trazabilidad solicitud de cambio ↔ informe de problema ↔ aprobación</t>
  </si>
  <si>
    <t xml:space="preserve">Paquete 3.1-D: 1 de 519 commits en dev (e7bccf2) cita un identificador (aa900f1); planes citados por nombre, sin ID de cambio</t>
  </si>
  <si>
    <t xml:space="preserve">Planes/specs existen en docs, pero no hay solicitud de cambio ni aprobación enlazada al commit. Solo evaluado a nivel de commits; falta revisar registros de aprobación.</t>
  </si>
  <si>
    <t xml:space="preserve">Alta</t>
  </si>
  <si>
    <t xml:space="preserve">NRM-02</t>
  </si>
  <si>
    <t xml:space="preserve">62304-8.3</t>
  </si>
  <si>
    <t xml:space="preserve">8.3</t>
  </si>
  <si>
    <t xml:space="preserve">Registros recuperables de la historia de configuración</t>
  </si>
  <si>
    <t xml:space="preserve">Paquete 3.1-D: historial git de 519 commits en dev; 3 worktrees y 7 ramas locales</t>
  </si>
  <si>
    <t xml:space="preserve">Historial recuperable, pero sin tags de release ni identificadores de cambio; documentos clave sin versionar (ver NRM-04).</t>
  </si>
  <si>
    <t xml:space="preserve">62304-9.1</t>
  </si>
  <si>
    <t xml:space="preserve">9.1</t>
  </si>
  <si>
    <t xml:space="preserve">Informe de problema por cada problema, clasificado por tipo, alcance y criticidad</t>
  </si>
  <si>
    <t xml:space="preserve">62304-9.2</t>
  </si>
  <si>
    <t xml:space="preserve">9.2</t>
  </si>
  <si>
    <t xml:space="preserve">Estudiar problema, evaluar relevancia de seguridad (cláusula 7), documentar, crear solicitud de cambio o justificar</t>
  </si>
  <si>
    <t xml:space="preserve">62304-9.3</t>
  </si>
  <si>
    <t xml:space="preserve">9.3</t>
  </si>
  <si>
    <t xml:space="preserve">Avisar a partes relevantes</t>
  </si>
  <si>
    <t xml:space="preserve">62304-9.4</t>
  </si>
  <si>
    <t xml:space="preserve">9.4</t>
  </si>
  <si>
    <t xml:space="preserve">Aprobar e implementar solicitudes de cambio según 8.2</t>
  </si>
  <si>
    <t xml:space="preserve">62304-9.5</t>
  </si>
  <si>
    <t xml:space="preserve">9.5</t>
  </si>
  <si>
    <t xml:space="preserve">Mantener registros de informes y resoluciones; actualizar fichero de riesgos</t>
  </si>
  <si>
    <t xml:space="preserve">62304-9.6</t>
  </si>
  <si>
    <t xml:space="preserve">9.6</t>
  </si>
  <si>
    <t xml:space="preserve">Análisis de tendencias de los informes de problemas</t>
  </si>
  <si>
    <t xml:space="preserve">62304-9.7</t>
  </si>
  <si>
    <t xml:space="preserve">9.7</t>
  </si>
  <si>
    <t xml:space="preserve">Verificar resoluciones (cerrado, tendencias revertidas, cambios implementados, sin problemas adicionales)</t>
  </si>
  <si>
    <t xml:space="preserve">62304-9.8</t>
  </si>
  <si>
    <t xml:space="preserve">9.8</t>
  </si>
  <si>
    <t xml:space="preserve">Contenido de documentación de ensayo tras modificación (resultados, anomalías, versión, configuración, herramientas, fecha, persona)</t>
  </si>
  <si>
    <t xml:space="preserve">ID Req. sistema</t>
  </si>
  <si>
    <t xml:space="preserve">ID Req. software</t>
  </si>
  <si>
    <t xml:space="preserve">Elemento de arquitectura/diseño</t>
  </si>
  <si>
    <t xml:space="preserve">Unidad de código (archivo/función)</t>
  </si>
  <si>
    <t xml:space="preserve">ID caso de prueba</t>
  </si>
  <si>
    <t xml:space="preserve">Resultado de prueba</t>
  </si>
  <si>
    <t xml:space="preserve">ID riesgo (ISO 14971)</t>
  </si>
  <si>
    <t xml:space="preserve">Estado de trazabilidad</t>
  </si>
  <si>
    <t xml:space="preserve">(ejemplo) SYS-001</t>
  </si>
  <si>
    <t xml:space="preserve">(ejemplo) REQ-SW-001</t>
  </si>
  <si>
    <t xml:space="preserve">(ejemplo) Enclavamiento de puertas</t>
  </si>
  <si>
    <t xml:space="preserve">(ejemplo) modulo.py::funcion</t>
  </si>
  <si>
    <t xml:space="preserve">(ejemplo) TC-001</t>
  </si>
  <si>
    <t xml:space="preserve">No ejecutado</t>
  </si>
  <si>
    <t xml:space="preserve">(ejemplo) RSK-001</t>
  </si>
  <si>
    <t xml:space="preserve">Incompleta — falta caso de prueba</t>
  </si>
  <si>
    <t xml:space="preserve">NOTA: matriz MUESTRAL (7.3.3). Se llena en Fase 3.7 con 3–5 funciones críticas; no es exhaustiva. La fila 2 es solo un ejemplo de formato: reemplazar.</t>
  </si>
  <si>
    <t xml:space="preserve">Componente</t>
  </si>
  <si>
    <t xml:space="preserve">Origen/fabricante</t>
  </si>
  <si>
    <t xml:space="preserve">Versión exacta</t>
  </si>
  <si>
    <t xml:space="preserve">Propósito en el sistema</t>
  </si>
  <si>
    <t xml:space="preserve">Requisitos funcionales/rendimiento esperados (5.3.3)</t>
  </si>
  <si>
    <t xml:space="preserve">HW/SW de soporte requerido (5.3.4)</t>
  </si>
  <si>
    <t xml:space="preserve">Vulnerabilidades/anomalías conocidas (7.1.3)</t>
  </si>
  <si>
    <t xml:space="preserve">Evaluación de riesgo</t>
  </si>
  <si>
    <t xml:space="preserve">Plan de actualización/mitigación</t>
  </si>
  <si>
    <t xml:space="preserve">(ejemplo) pyserial</t>
  </si>
  <si>
    <t xml:space="preserve">(ejemplo) proyecto pySerial</t>
  </si>
  <si>
    <t xml:space="preserve">(ejemplo) x.y.z — completar desde requirements.lock.txt</t>
  </si>
  <si>
    <t xml:space="preserve">(ejemplo) Comunicación serial con ESP32</t>
  </si>
  <si>
    <t xml:space="preserve">(ejemplo) 115200 baud, lectura no bloqueante</t>
  </si>
  <si>
    <t xml:space="preserve">(ejemplo) Python 3.x, puerto COM</t>
  </si>
  <si>
    <t xml:space="preserve">(ejemplo) resultado de pip-audit</t>
  </si>
  <si>
    <t xml:space="preserve">(ejemplo) pendiente</t>
  </si>
  <si>
    <t xml:space="preserve">NOTA: se completa con el paquete Claude Code 3.2. La fila 2 es solo ejemplo de formato: reemplazar.</t>
  </si>
  <si>
    <t xml:space="preserve">Decisión</t>
  </si>
  <si>
    <t xml:space="preserve">Respuesta de Cristian (2026-10-07)</t>
  </si>
  <si>
    <t xml:space="preserve">Efecto en el plan</t>
  </si>
  <si>
    <t xml:space="preserve">P-01</t>
  </si>
  <si>
    <t xml:space="preserve">Edición normativa</t>
  </si>
  <si>
    <t xml:space="preserve">'Sí' (interpretado como aceptación del valor por defecto: NTC como base y AMD1:2015 como referencia complementaria). Corregir si la intención era otra.</t>
  </si>
  <si>
    <t xml:space="preserve">Se marcan diferencias NTC vs AMD1 en hallazgos relevantes.</t>
  </si>
  <si>
    <t xml:space="preserve">P-02</t>
  </si>
  <si>
    <t xml:space="preserve">Fichero de gestión de riesgos ISO 14971</t>
  </si>
  <si>
    <t xml:space="preserve">No existe.</t>
  </si>
  <si>
    <t xml:space="preserve">Fase 4 pasa a construcción desde cero. Hallazgos críticos en 4.2, 4.3 c, 7.1.4, 7.1.5, 7.2.1, 7.3.3 (Clase C declarada sin fichero).</t>
  </si>
  <si>
    <t xml:space="preserve">P-03</t>
  </si>
  <si>
    <t xml:space="preserve">Alcance de elementos software</t>
  </si>
  <si>
    <t xml:space="preserve">Confirmado: backend Python, HAL/serial, firmware ESP32, UI QML, launcher; SOUP según lista propuesta.</t>
  </si>
  <si>
    <t xml:space="preserve">Alcance fijo para Fases 1–4.</t>
  </si>
  <si>
    <t xml:space="preserve">P-04</t>
  </si>
  <si>
    <t xml:space="preserve">Formato de la matriz</t>
  </si>
  <si>
    <t xml:space="preserve">xlsx</t>
  </si>
  <si>
    <t xml:space="preserve">Este archivo.</t>
  </si>
  <si>
    <t xml:space="preserve">P-05</t>
  </si>
  <si>
    <t xml:space="preserve">SGC de Especifika</t>
  </si>
  <si>
    <t xml:space="preserve">Existe, pero el manual solo remite a documentos anexos que no se han entregado; fueron solicitados y prometidos para 2026-10-08.</t>
  </si>
  <si>
    <t xml:space="preserve">4.1 y procedimientos asociados quedan 'No evaluado' hasta recibirlos.</t>
  </si>
  <si>
    <t xml:space="preserve">P-06</t>
  </si>
  <si>
    <t xml:space="preserve">Ejecución de Fase 3</t>
  </si>
  <si>
    <t xml:space="preserve">Confirmado: Claude Code, solo lectura, rama dev, informe en español; el chat redacta los paquetes.</t>
  </si>
  <si>
    <t xml:space="preserve">Se redactan paquetes 3.1–3.7.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</si>
</sst>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Estado de cumplimiento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Resumen!B5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Resumen!$A$6:$A$10</c:f>
              <c:strCache>
                <c:ptCount val="5"/>
                <c:pt idx="0">
                  <c:v>Cumple</c:v>
                </c:pt>
                <c:pt idx="1">
                  <c:v>Parcial</c:v>
                </c:pt>
                <c:pt idx="2">
                  <c:v>No cumple</c:v>
                </c:pt>
                <c:pt idx="3">
                  <c:v>No evaluado</c:v>
                </c:pt>
                <c:pt idx="4">
                  <c:v>Excluido (justificado)</c:v>
                </c:pt>
              </c:strCache>
            </c:strRef>
          </c:cat>
          <c:val>
            <c:numRef>
              <c:f>Resumen!$B$6:$B$10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107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9524618"/>
        <c:axId val="54154300"/>
      </c:barChart>
      <c:catAx>
        <c:axId val="49524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54300"/>
        <c:crosses val="autoZero"/>
        <c:auto val="1"/>
        <c:lblAlgn val="ctr"/>
        <c:lblOffset val="100"/>
        <c:noMultiLvlLbl val="0"/>
      </c:catAx>
      <c:valAx>
        <c:axId val="541543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246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0</xdr:rowOff>
    </xdr:from>
    <xdr:to>
      <xdr:col>12</xdr:col>
      <xdr:colOff>147600</xdr:colOff>
      <xdr:row>17</xdr:row>
      <xdr:rowOff>43200</xdr:rowOff>
    </xdr:to>
    <xdr:graphicFrame>
      <xdr:nvGraphicFramePr>
        <xdr:cNvPr id="0" name="Chart 1"/>
        <xdr:cNvGraphicFramePr/>
      </xdr:nvGraphicFramePr>
      <xdr:xfrm>
        <a:off x="4699800" y="7714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true" outlineLevel="0" collapsed="false">
      <c r="A6" s="5" t="s">
        <v>6</v>
      </c>
      <c r="B6" s="5" t="n">
        <f aca="false">COUNTIF('IEC 62304'!$E$2:$E$118,A6)</f>
        <v>0</v>
      </c>
      <c r="C6" s="6" t="n">
        <f aca="false">IF($B$11=0,0,B6/$B$11)</f>
        <v>0</v>
      </c>
    </row>
    <row r="7" customFormat="false" ht="15" hidden="false" customHeight="true" outlineLevel="0" collapsed="false">
      <c r="A7" s="5" t="s">
        <v>7</v>
      </c>
      <c r="B7" s="5" t="n">
        <f aca="false">COUNTIF('IEC 62304'!$E$2:$E$118,A7)</f>
        <v>4</v>
      </c>
      <c r="C7" s="6" t="n">
        <f aca="false">IF($B$11=0,0,B7/$B$11)</f>
        <v>0.0341880341880342</v>
      </c>
    </row>
    <row r="8" customFormat="false" ht="15" hidden="false" customHeight="true" outlineLevel="0" collapsed="false">
      <c r="A8" s="5" t="s">
        <v>8</v>
      </c>
      <c r="B8" s="5" t="n">
        <f aca="false">COUNTIF('IEC 62304'!$E$2:$E$118,A8)</f>
        <v>6</v>
      </c>
      <c r="C8" s="6" t="n">
        <f aca="false">IF($B$11=0,0,B8/$B$11)</f>
        <v>0.0512820512820513</v>
      </c>
    </row>
    <row r="9" customFormat="false" ht="15" hidden="false" customHeight="true" outlineLevel="0" collapsed="false">
      <c r="A9" s="5" t="s">
        <v>9</v>
      </c>
      <c r="B9" s="5" t="n">
        <f aca="false">COUNTIF('IEC 62304'!$E$2:$E$118,A9)</f>
        <v>107</v>
      </c>
      <c r="C9" s="6" t="n">
        <f aca="false">IF($B$11=0,0,B9/$B$11)</f>
        <v>0.914529914529915</v>
      </c>
    </row>
    <row r="10" customFormat="false" ht="15" hidden="false" customHeight="true" outlineLevel="0" collapsed="false">
      <c r="A10" s="5" t="s">
        <v>10</v>
      </c>
      <c r="B10" s="5" t="n">
        <f aca="false">COUNTIF('IEC 62304'!$E$2:$E$118,A10)</f>
        <v>0</v>
      </c>
      <c r="C10" s="6" t="n">
        <f aca="false">IF($B$11=0,0,B10/$B$11)</f>
        <v>0</v>
      </c>
    </row>
    <row r="11" customFormat="false" ht="15" hidden="false" customHeight="true" outlineLevel="0" collapsed="false">
      <c r="A11" s="7" t="s">
        <v>11</v>
      </c>
      <c r="B11" s="5" t="n">
        <f aca="false">SUM(B6:B10)</f>
        <v>117</v>
      </c>
      <c r="C11" s="6" t="n">
        <f aca="false">SUM(C6:C10)</f>
        <v>1</v>
      </c>
    </row>
    <row r="12" customFormat="false" ht="15" hidden="false" customHeight="true" outlineLevel="0" collapsed="false">
      <c r="A12" s="5" t="s">
        <v>12</v>
      </c>
      <c r="B12" s="5" t="n">
        <f aca="false">COUNTA('IEC 62304'!$A$2:$A$118)</f>
        <v>117</v>
      </c>
      <c r="C12" s="5"/>
    </row>
    <row r="13" customFormat="false" ht="15" hidden="false" customHeight="true" outlineLevel="0" collapsed="false">
      <c r="A13" s="5" t="s">
        <v>13</v>
      </c>
      <c r="B13" s="5" t="n">
        <f aca="false">COUNTIF('IEC 62304'!$H$2:$H$118,"Crítica")</f>
        <v>6</v>
      </c>
      <c r="C1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70"/>
    <col collapsed="false" customWidth="true" hidden="false" outlineLevel="0" max="4" min="4" style="1" width="7"/>
    <col collapsed="false" customWidth="true" hidden="false" outlineLevel="0" max="5" min="5" style="1" width="14"/>
    <col collapsed="false" customWidth="true" hidden="false" outlineLevel="0" max="6" min="6" style="1" width="38"/>
    <col collapsed="false" customWidth="true" hidden="false" outlineLevel="0" max="7" min="7" style="1" width="48"/>
    <col collapsed="false" customWidth="true" hidden="false" outlineLevel="0" max="9" min="8" style="1" width="11"/>
    <col collapsed="false" customWidth="true" hidden="false" outlineLevel="0" max="10" min="10" style="1" width="12"/>
  </cols>
  <sheetData>
    <row r="1" customFormat="false" ht="23.25" hidden="false" customHeight="true" outlineLevel="0" collapsed="false">
      <c r="A1" s="8" t="s">
        <v>14</v>
      </c>
      <c r="B1" s="8" t="s">
        <v>15</v>
      </c>
      <c r="C1" s="8" t="s">
        <v>16</v>
      </c>
      <c r="D1" s="8" t="s">
        <v>17</v>
      </c>
      <c r="E1" s="8" t="s">
        <v>3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</row>
    <row r="2" customFormat="false" ht="23.25" hidden="false" customHeight="true" outlineLevel="0" collapsed="false">
      <c r="A2" s="9" t="s">
        <v>23</v>
      </c>
      <c r="B2" s="9" t="s">
        <v>24</v>
      </c>
      <c r="C2" s="9" t="s">
        <v>25</v>
      </c>
      <c r="D2" s="9" t="s">
        <v>26</v>
      </c>
      <c r="E2" s="10" t="s">
        <v>9</v>
      </c>
      <c r="F2" s="10"/>
      <c r="G2" s="10" t="s">
        <v>27</v>
      </c>
      <c r="H2" s="10"/>
      <c r="I2" s="9" t="s">
        <v>28</v>
      </c>
      <c r="J2" s="10"/>
    </row>
    <row r="3" customFormat="false" ht="23.25" hidden="false" customHeight="true" outlineLevel="0" collapsed="false">
      <c r="A3" s="9" t="s">
        <v>29</v>
      </c>
      <c r="B3" s="9" t="s">
        <v>30</v>
      </c>
      <c r="C3" s="9" t="s">
        <v>31</v>
      </c>
      <c r="D3" s="9" t="s">
        <v>26</v>
      </c>
      <c r="E3" s="10" t="s">
        <v>8</v>
      </c>
      <c r="F3" s="10" t="s">
        <v>32</v>
      </c>
      <c r="G3" s="10" t="s">
        <v>33</v>
      </c>
      <c r="H3" s="10" t="s">
        <v>34</v>
      </c>
      <c r="I3" s="9" t="s">
        <v>28</v>
      </c>
      <c r="J3" s="10" t="s">
        <v>35</v>
      </c>
    </row>
    <row r="4" customFormat="false" ht="23.25" hidden="false" customHeight="true" outlineLevel="0" collapsed="false">
      <c r="A4" s="9" t="s">
        <v>36</v>
      </c>
      <c r="B4" s="9" t="s">
        <v>37</v>
      </c>
      <c r="C4" s="9" t="s">
        <v>38</v>
      </c>
      <c r="D4" s="9" t="s">
        <v>26</v>
      </c>
      <c r="E4" s="10" t="s">
        <v>9</v>
      </c>
      <c r="F4" s="10"/>
      <c r="G4" s="10"/>
      <c r="H4" s="10"/>
      <c r="I4" s="9" t="s">
        <v>28</v>
      </c>
      <c r="J4" s="10"/>
    </row>
    <row r="5" customFormat="false" ht="23.25" hidden="false" customHeight="true" outlineLevel="0" collapsed="false">
      <c r="A5" s="9" t="s">
        <v>39</v>
      </c>
      <c r="B5" s="9" t="s">
        <v>40</v>
      </c>
      <c r="C5" s="9" t="s">
        <v>41</v>
      </c>
      <c r="D5" s="9" t="s">
        <v>26</v>
      </c>
      <c r="E5" s="10" t="s">
        <v>8</v>
      </c>
      <c r="F5" s="10" t="s">
        <v>32</v>
      </c>
      <c r="G5" s="10" t="s">
        <v>42</v>
      </c>
      <c r="H5" s="10" t="s">
        <v>34</v>
      </c>
      <c r="I5" s="9" t="s">
        <v>28</v>
      </c>
      <c r="J5" s="10" t="s">
        <v>35</v>
      </c>
    </row>
    <row r="6" customFormat="false" ht="23.25" hidden="false" customHeight="true" outlineLevel="0" collapsed="false">
      <c r="A6" s="9" t="s">
        <v>43</v>
      </c>
      <c r="B6" s="9" t="s">
        <v>44</v>
      </c>
      <c r="C6" s="9" t="s">
        <v>45</v>
      </c>
      <c r="D6" s="9" t="s">
        <v>26</v>
      </c>
      <c r="E6" s="10" t="s">
        <v>9</v>
      </c>
      <c r="F6" s="10"/>
      <c r="G6" s="10"/>
      <c r="H6" s="10"/>
      <c r="I6" s="9" t="s">
        <v>28</v>
      </c>
      <c r="J6" s="10"/>
    </row>
    <row r="7" customFormat="false" ht="23.25" hidden="false" customHeight="true" outlineLevel="0" collapsed="false">
      <c r="A7" s="9" t="s">
        <v>46</v>
      </c>
      <c r="B7" s="9" t="s">
        <v>47</v>
      </c>
      <c r="C7" s="9" t="s">
        <v>48</v>
      </c>
      <c r="D7" s="9" t="s">
        <v>26</v>
      </c>
      <c r="E7" s="10" t="s">
        <v>9</v>
      </c>
      <c r="F7" s="10"/>
      <c r="G7" s="10"/>
      <c r="H7" s="10"/>
      <c r="I7" s="9" t="s">
        <v>28</v>
      </c>
      <c r="J7" s="10"/>
    </row>
    <row r="8" customFormat="false" ht="15" hidden="false" customHeight="true" outlineLevel="0" collapsed="false">
      <c r="A8" s="9" t="s">
        <v>49</v>
      </c>
      <c r="B8" s="9" t="s">
        <v>50</v>
      </c>
      <c r="C8" s="9" t="s">
        <v>51</v>
      </c>
      <c r="D8" s="9" t="s">
        <v>26</v>
      </c>
      <c r="E8" s="10" t="s">
        <v>9</v>
      </c>
      <c r="F8" s="10"/>
      <c r="G8" s="10"/>
      <c r="H8" s="10"/>
      <c r="I8" s="9" t="s">
        <v>28</v>
      </c>
      <c r="J8" s="10"/>
    </row>
    <row r="9" customFormat="false" ht="23.25" hidden="false" customHeight="true" outlineLevel="0" collapsed="false">
      <c r="A9" s="9" t="s">
        <v>52</v>
      </c>
      <c r="B9" s="9" t="s">
        <v>53</v>
      </c>
      <c r="C9" s="9" t="s">
        <v>54</v>
      </c>
      <c r="D9" s="9" t="s">
        <v>26</v>
      </c>
      <c r="E9" s="10" t="s">
        <v>9</v>
      </c>
      <c r="F9" s="10"/>
      <c r="G9" s="10"/>
      <c r="H9" s="10"/>
      <c r="I9" s="9" t="s">
        <v>28</v>
      </c>
      <c r="J9" s="10"/>
    </row>
    <row r="10" customFormat="false" ht="15" hidden="false" customHeight="true" outlineLevel="0" collapsed="false">
      <c r="A10" s="9" t="s">
        <v>55</v>
      </c>
      <c r="B10" s="9" t="s">
        <v>56</v>
      </c>
      <c r="C10" s="9" t="s">
        <v>57</v>
      </c>
      <c r="D10" s="9" t="s">
        <v>26</v>
      </c>
      <c r="E10" s="10" t="s">
        <v>9</v>
      </c>
      <c r="F10" s="10"/>
      <c r="G10" s="10"/>
      <c r="H10" s="10"/>
      <c r="I10" s="9" t="s">
        <v>28</v>
      </c>
      <c r="J10" s="10"/>
    </row>
    <row r="11" customFormat="false" ht="15" hidden="false" customHeight="true" outlineLevel="0" collapsed="false">
      <c r="A11" s="9" t="s">
        <v>58</v>
      </c>
      <c r="B11" s="9" t="s">
        <v>59</v>
      </c>
      <c r="C11" s="9" t="s">
        <v>60</v>
      </c>
      <c r="D11" s="9" t="s">
        <v>26</v>
      </c>
      <c r="E11" s="10" t="s">
        <v>9</v>
      </c>
      <c r="F11" s="10"/>
      <c r="G11" s="10"/>
      <c r="H11" s="10"/>
      <c r="I11" s="9" t="s">
        <v>28</v>
      </c>
      <c r="J11" s="10"/>
    </row>
    <row r="12" customFormat="false" ht="15" hidden="false" customHeight="true" outlineLevel="0" collapsed="false">
      <c r="A12" s="9" t="s">
        <v>61</v>
      </c>
      <c r="B12" s="9" t="s">
        <v>62</v>
      </c>
      <c r="C12" s="9" t="s">
        <v>63</v>
      </c>
      <c r="D12" s="9" t="s">
        <v>26</v>
      </c>
      <c r="E12" s="10" t="s">
        <v>9</v>
      </c>
      <c r="F12" s="10"/>
      <c r="G12" s="10"/>
      <c r="H12" s="10"/>
      <c r="I12" s="9" t="s">
        <v>28</v>
      </c>
      <c r="J12" s="10"/>
    </row>
    <row r="13" customFormat="false" ht="15" hidden="false" customHeight="true" outlineLevel="0" collapsed="false">
      <c r="A13" s="9" t="s">
        <v>64</v>
      </c>
      <c r="B13" s="9" t="s">
        <v>65</v>
      </c>
      <c r="C13" s="9" t="s">
        <v>66</v>
      </c>
      <c r="D13" s="9" t="s">
        <v>26</v>
      </c>
      <c r="E13" s="10" t="s">
        <v>9</v>
      </c>
      <c r="F13" s="10"/>
      <c r="G13" s="10"/>
      <c r="H13" s="10"/>
      <c r="I13" s="9" t="s">
        <v>28</v>
      </c>
      <c r="J13" s="10"/>
    </row>
    <row r="14" customFormat="false" ht="15" hidden="false" customHeight="true" outlineLevel="0" collapsed="false">
      <c r="A14" s="9" t="s">
        <v>67</v>
      </c>
      <c r="B14" s="9" t="s">
        <v>68</v>
      </c>
      <c r="C14" s="9" t="s">
        <v>69</v>
      </c>
      <c r="D14" s="9" t="s">
        <v>26</v>
      </c>
      <c r="E14" s="10" t="s">
        <v>9</v>
      </c>
      <c r="F14" s="10"/>
      <c r="G14" s="10"/>
      <c r="H14" s="10"/>
      <c r="I14" s="9" t="s">
        <v>28</v>
      </c>
      <c r="J14" s="10"/>
    </row>
    <row r="15" customFormat="false" ht="15" hidden="false" customHeight="true" outlineLevel="0" collapsed="false">
      <c r="A15" s="9" t="s">
        <v>70</v>
      </c>
      <c r="B15" s="9" t="s">
        <v>71</v>
      </c>
      <c r="C15" s="9" t="s">
        <v>72</v>
      </c>
      <c r="D15" s="9" t="s">
        <v>26</v>
      </c>
      <c r="E15" s="10" t="s">
        <v>9</v>
      </c>
      <c r="F15" s="10"/>
      <c r="G15" s="10"/>
      <c r="H15" s="10"/>
      <c r="I15" s="9" t="s">
        <v>28</v>
      </c>
      <c r="J15" s="10"/>
    </row>
    <row r="16" customFormat="false" ht="15" hidden="false" customHeight="true" outlineLevel="0" collapsed="false">
      <c r="A16" s="9" t="s">
        <v>73</v>
      </c>
      <c r="B16" s="9" t="s">
        <v>74</v>
      </c>
      <c r="C16" s="9" t="s">
        <v>75</v>
      </c>
      <c r="D16" s="9" t="s">
        <v>26</v>
      </c>
      <c r="E16" s="10" t="s">
        <v>9</v>
      </c>
      <c r="F16" s="10"/>
      <c r="G16" s="10"/>
      <c r="H16" s="10"/>
      <c r="I16" s="9" t="s">
        <v>28</v>
      </c>
      <c r="J16" s="10"/>
    </row>
    <row r="17" customFormat="false" ht="23.25" hidden="false" customHeight="true" outlineLevel="0" collapsed="false">
      <c r="A17" s="9" t="s">
        <v>76</v>
      </c>
      <c r="B17" s="9" t="s">
        <v>77</v>
      </c>
      <c r="C17" s="9" t="s">
        <v>78</v>
      </c>
      <c r="D17" s="9" t="s">
        <v>26</v>
      </c>
      <c r="E17" s="10" t="s">
        <v>9</v>
      </c>
      <c r="F17" s="10"/>
      <c r="G17" s="10"/>
      <c r="H17" s="10"/>
      <c r="I17" s="9" t="s">
        <v>28</v>
      </c>
      <c r="J17" s="10"/>
    </row>
    <row r="18" customFormat="false" ht="15" hidden="false" customHeight="true" outlineLevel="0" collapsed="false">
      <c r="A18" s="9" t="s">
        <v>79</v>
      </c>
      <c r="B18" s="9" t="s">
        <v>80</v>
      </c>
      <c r="C18" s="9" t="s">
        <v>81</v>
      </c>
      <c r="D18" s="9" t="s">
        <v>26</v>
      </c>
      <c r="E18" s="10" t="s">
        <v>9</v>
      </c>
      <c r="F18" s="10"/>
      <c r="G18" s="10"/>
      <c r="H18" s="10"/>
      <c r="I18" s="9" t="s">
        <v>82</v>
      </c>
      <c r="J18" s="10"/>
    </row>
    <row r="19" customFormat="false" ht="15" hidden="false" customHeight="true" outlineLevel="0" collapsed="false">
      <c r="A19" s="9" t="s">
        <v>83</v>
      </c>
      <c r="B19" s="9" t="s">
        <v>84</v>
      </c>
      <c r="C19" s="9" t="s">
        <v>85</v>
      </c>
      <c r="D19" s="9" t="s">
        <v>26</v>
      </c>
      <c r="E19" s="10" t="s">
        <v>9</v>
      </c>
      <c r="F19" s="10"/>
      <c r="G19" s="10"/>
      <c r="H19" s="10"/>
      <c r="I19" s="9" t="s">
        <v>82</v>
      </c>
      <c r="J19" s="10"/>
    </row>
    <row r="20" customFormat="false" ht="15" hidden="false" customHeight="true" outlineLevel="0" collapsed="false">
      <c r="A20" s="9" t="s">
        <v>86</v>
      </c>
      <c r="B20" s="9" t="s">
        <v>87</v>
      </c>
      <c r="C20" s="9" t="s">
        <v>88</v>
      </c>
      <c r="D20" s="9" t="s">
        <v>26</v>
      </c>
      <c r="E20" s="10" t="s">
        <v>9</v>
      </c>
      <c r="F20" s="10"/>
      <c r="G20" s="10"/>
      <c r="H20" s="10"/>
      <c r="I20" s="9" t="s">
        <v>28</v>
      </c>
      <c r="J20" s="10"/>
    </row>
    <row r="21" customFormat="false" ht="23.25" hidden="false" customHeight="true" outlineLevel="0" collapsed="false">
      <c r="A21" s="9" t="s">
        <v>89</v>
      </c>
      <c r="B21" s="9" t="s">
        <v>90</v>
      </c>
      <c r="C21" s="9" t="s">
        <v>91</v>
      </c>
      <c r="D21" s="9" t="s">
        <v>26</v>
      </c>
      <c r="E21" s="10" t="s">
        <v>9</v>
      </c>
      <c r="F21" s="10"/>
      <c r="G21" s="10"/>
      <c r="H21" s="10"/>
      <c r="I21" s="9" t="s">
        <v>28</v>
      </c>
      <c r="J21" s="10"/>
    </row>
    <row r="22" customFormat="false" ht="15" hidden="false" customHeight="true" outlineLevel="0" collapsed="false">
      <c r="A22" s="9" t="s">
        <v>92</v>
      </c>
      <c r="B22" s="9" t="s">
        <v>93</v>
      </c>
      <c r="C22" s="9" t="s">
        <v>94</v>
      </c>
      <c r="D22" s="9" t="s">
        <v>26</v>
      </c>
      <c r="E22" s="10" t="s">
        <v>9</v>
      </c>
      <c r="F22" s="10"/>
      <c r="G22" s="10"/>
      <c r="H22" s="10"/>
      <c r="I22" s="9" t="s">
        <v>28</v>
      </c>
      <c r="J22" s="10"/>
    </row>
    <row r="23" customFormat="false" ht="15" hidden="false" customHeight="true" outlineLevel="0" collapsed="false">
      <c r="A23" s="9" t="s">
        <v>95</v>
      </c>
      <c r="B23" s="9" t="s">
        <v>96</v>
      </c>
      <c r="C23" s="9" t="s">
        <v>97</v>
      </c>
      <c r="D23" s="9" t="s">
        <v>26</v>
      </c>
      <c r="E23" s="10" t="s">
        <v>9</v>
      </c>
      <c r="F23" s="10"/>
      <c r="G23" s="10"/>
      <c r="H23" s="10"/>
      <c r="I23" s="9" t="s">
        <v>28</v>
      </c>
      <c r="J23" s="10"/>
    </row>
    <row r="24" customFormat="false" ht="15" hidden="false" customHeight="true" outlineLevel="0" collapsed="false">
      <c r="A24" s="9" t="s">
        <v>98</v>
      </c>
      <c r="B24" s="9" t="s">
        <v>99</v>
      </c>
      <c r="C24" s="9" t="s">
        <v>100</v>
      </c>
      <c r="D24" s="9" t="s">
        <v>26</v>
      </c>
      <c r="E24" s="10" t="s">
        <v>9</v>
      </c>
      <c r="F24" s="10"/>
      <c r="G24" s="10"/>
      <c r="H24" s="10"/>
      <c r="I24" s="9" t="s">
        <v>28</v>
      </c>
      <c r="J24" s="10"/>
    </row>
    <row r="25" customFormat="false" ht="23.25" hidden="false" customHeight="true" outlineLevel="0" collapsed="false">
      <c r="A25" s="9" t="s">
        <v>101</v>
      </c>
      <c r="B25" s="9" t="s">
        <v>102</v>
      </c>
      <c r="C25" s="9" t="s">
        <v>103</v>
      </c>
      <c r="D25" s="9" t="s">
        <v>26</v>
      </c>
      <c r="E25" s="10" t="s">
        <v>9</v>
      </c>
      <c r="F25" s="10"/>
      <c r="G25" s="10"/>
      <c r="H25" s="10"/>
      <c r="I25" s="9" t="s">
        <v>28</v>
      </c>
      <c r="J25" s="10"/>
    </row>
    <row r="26" customFormat="false" ht="15" hidden="false" customHeight="true" outlineLevel="0" collapsed="false">
      <c r="A26" s="9" t="s">
        <v>104</v>
      </c>
      <c r="B26" s="9" t="s">
        <v>105</v>
      </c>
      <c r="C26" s="9" t="s">
        <v>106</v>
      </c>
      <c r="D26" s="9" t="s">
        <v>26</v>
      </c>
      <c r="E26" s="10" t="s">
        <v>9</v>
      </c>
      <c r="F26" s="10"/>
      <c r="G26" s="10"/>
      <c r="H26" s="10"/>
      <c r="I26" s="9" t="s">
        <v>28</v>
      </c>
      <c r="J26" s="10"/>
    </row>
    <row r="27" customFormat="false" ht="15" hidden="false" customHeight="true" outlineLevel="0" collapsed="false">
      <c r="A27" s="9" t="s">
        <v>107</v>
      </c>
      <c r="B27" s="9" t="s">
        <v>108</v>
      </c>
      <c r="C27" s="9" t="s">
        <v>109</v>
      </c>
      <c r="D27" s="9" t="s">
        <v>26</v>
      </c>
      <c r="E27" s="10" t="s">
        <v>9</v>
      </c>
      <c r="F27" s="10"/>
      <c r="G27" s="10"/>
      <c r="H27" s="10"/>
      <c r="I27" s="9" t="s">
        <v>28</v>
      </c>
      <c r="J27" s="10"/>
    </row>
    <row r="28" customFormat="false" ht="15" hidden="false" customHeight="true" outlineLevel="0" collapsed="false">
      <c r="A28" s="9" t="s">
        <v>110</v>
      </c>
      <c r="B28" s="9" t="s">
        <v>111</v>
      </c>
      <c r="C28" s="9" t="s">
        <v>112</v>
      </c>
      <c r="D28" s="9" t="s">
        <v>26</v>
      </c>
      <c r="E28" s="10" t="s">
        <v>9</v>
      </c>
      <c r="F28" s="10"/>
      <c r="G28" s="10"/>
      <c r="H28" s="10"/>
      <c r="I28" s="9" t="s">
        <v>28</v>
      </c>
      <c r="J28" s="10"/>
    </row>
    <row r="29" customFormat="false" ht="15" hidden="false" customHeight="true" outlineLevel="0" collapsed="false">
      <c r="A29" s="9" t="s">
        <v>113</v>
      </c>
      <c r="B29" s="9" t="s">
        <v>114</v>
      </c>
      <c r="C29" s="9" t="s">
        <v>115</v>
      </c>
      <c r="D29" s="9" t="s">
        <v>26</v>
      </c>
      <c r="E29" s="10" t="s">
        <v>9</v>
      </c>
      <c r="F29" s="10"/>
      <c r="G29" s="10"/>
      <c r="H29" s="10"/>
      <c r="I29" s="9" t="s">
        <v>28</v>
      </c>
      <c r="J29" s="10"/>
    </row>
    <row r="30" customFormat="false" ht="15" hidden="false" customHeight="true" outlineLevel="0" collapsed="false">
      <c r="A30" s="9" t="s">
        <v>116</v>
      </c>
      <c r="B30" s="9" t="s">
        <v>117</v>
      </c>
      <c r="C30" s="9" t="s">
        <v>118</v>
      </c>
      <c r="D30" s="9" t="s">
        <v>26</v>
      </c>
      <c r="E30" s="10" t="s">
        <v>9</v>
      </c>
      <c r="F30" s="10"/>
      <c r="G30" s="10"/>
      <c r="H30" s="10"/>
      <c r="I30" s="9" t="s">
        <v>28</v>
      </c>
      <c r="J30" s="10"/>
    </row>
    <row r="31" customFormat="false" ht="15" hidden="false" customHeight="true" outlineLevel="0" collapsed="false">
      <c r="A31" s="9" t="s">
        <v>119</v>
      </c>
      <c r="B31" s="9" t="s">
        <v>120</v>
      </c>
      <c r="C31" s="9" t="s">
        <v>121</v>
      </c>
      <c r="D31" s="9" t="s">
        <v>26</v>
      </c>
      <c r="E31" s="10" t="s">
        <v>9</v>
      </c>
      <c r="F31" s="10"/>
      <c r="G31" s="10"/>
      <c r="H31" s="10"/>
      <c r="I31" s="9" t="s">
        <v>28</v>
      </c>
      <c r="J31" s="10"/>
    </row>
    <row r="32" customFormat="false" ht="15" hidden="false" customHeight="true" outlineLevel="0" collapsed="false">
      <c r="A32" s="9" t="s">
        <v>122</v>
      </c>
      <c r="B32" s="9" t="s">
        <v>123</v>
      </c>
      <c r="C32" s="9" t="s">
        <v>124</v>
      </c>
      <c r="D32" s="9" t="s">
        <v>26</v>
      </c>
      <c r="E32" s="10" t="s">
        <v>9</v>
      </c>
      <c r="F32" s="10"/>
      <c r="G32" s="10"/>
      <c r="H32" s="10"/>
      <c r="I32" s="9" t="s">
        <v>28</v>
      </c>
      <c r="J32" s="10"/>
    </row>
    <row r="33" customFormat="false" ht="15" hidden="false" customHeight="true" outlineLevel="0" collapsed="false">
      <c r="A33" s="9" t="s">
        <v>125</v>
      </c>
      <c r="B33" s="9" t="s">
        <v>126</v>
      </c>
      <c r="C33" s="9" t="s">
        <v>127</v>
      </c>
      <c r="D33" s="9" t="s">
        <v>26</v>
      </c>
      <c r="E33" s="10" t="s">
        <v>9</v>
      </c>
      <c r="F33" s="10"/>
      <c r="G33" s="10"/>
      <c r="H33" s="10"/>
      <c r="I33" s="9" t="s">
        <v>28</v>
      </c>
      <c r="J33" s="10"/>
    </row>
    <row r="34" customFormat="false" ht="23.25" hidden="false" customHeight="true" outlineLevel="0" collapsed="false">
      <c r="A34" s="9" t="s">
        <v>128</v>
      </c>
      <c r="B34" s="9" t="s">
        <v>129</v>
      </c>
      <c r="C34" s="9" t="s">
        <v>130</v>
      </c>
      <c r="D34" s="9" t="s">
        <v>26</v>
      </c>
      <c r="E34" s="10" t="s">
        <v>9</v>
      </c>
      <c r="F34" s="10"/>
      <c r="G34" s="10"/>
      <c r="H34" s="10"/>
      <c r="I34" s="9" t="s">
        <v>28</v>
      </c>
      <c r="J34" s="10"/>
    </row>
    <row r="35" customFormat="false" ht="15" hidden="false" customHeight="true" outlineLevel="0" collapsed="false">
      <c r="A35" s="9" t="s">
        <v>131</v>
      </c>
      <c r="B35" s="9" t="s">
        <v>132</v>
      </c>
      <c r="C35" s="9" t="s">
        <v>133</v>
      </c>
      <c r="D35" s="9" t="s">
        <v>26</v>
      </c>
      <c r="E35" s="10" t="s">
        <v>9</v>
      </c>
      <c r="F35" s="10"/>
      <c r="G35" s="10"/>
      <c r="H35" s="10"/>
      <c r="I35" s="9" t="s">
        <v>28</v>
      </c>
      <c r="J35" s="10"/>
    </row>
    <row r="36" customFormat="false" ht="23.25" hidden="false" customHeight="true" outlineLevel="0" collapsed="false">
      <c r="A36" s="9" t="s">
        <v>134</v>
      </c>
      <c r="B36" s="9" t="s">
        <v>135</v>
      </c>
      <c r="C36" s="9" t="s">
        <v>136</v>
      </c>
      <c r="D36" s="9" t="s">
        <v>26</v>
      </c>
      <c r="E36" s="10" t="s">
        <v>9</v>
      </c>
      <c r="F36" s="10"/>
      <c r="G36" s="10"/>
      <c r="H36" s="10"/>
      <c r="I36" s="9" t="s">
        <v>28</v>
      </c>
      <c r="J36" s="10"/>
    </row>
    <row r="37" customFormat="false" ht="23.25" hidden="false" customHeight="true" outlineLevel="0" collapsed="false">
      <c r="A37" s="9" t="s">
        <v>137</v>
      </c>
      <c r="B37" s="9" t="s">
        <v>138</v>
      </c>
      <c r="C37" s="9" t="s">
        <v>139</v>
      </c>
      <c r="D37" s="9" t="s">
        <v>26</v>
      </c>
      <c r="E37" s="10" t="s">
        <v>9</v>
      </c>
      <c r="F37" s="10"/>
      <c r="G37" s="10"/>
      <c r="H37" s="10"/>
      <c r="I37" s="9" t="s">
        <v>28</v>
      </c>
      <c r="J37" s="10"/>
    </row>
    <row r="38" customFormat="false" ht="23.25" hidden="false" customHeight="true" outlineLevel="0" collapsed="false">
      <c r="A38" s="9" t="s">
        <v>140</v>
      </c>
      <c r="B38" s="9" t="s">
        <v>141</v>
      </c>
      <c r="C38" s="9" t="s">
        <v>142</v>
      </c>
      <c r="D38" s="9" t="s">
        <v>26</v>
      </c>
      <c r="E38" s="10" t="s">
        <v>9</v>
      </c>
      <c r="F38" s="10"/>
      <c r="G38" s="10"/>
      <c r="H38" s="10"/>
      <c r="I38" s="9" t="s">
        <v>82</v>
      </c>
      <c r="J38" s="10"/>
    </row>
    <row r="39" customFormat="false" ht="15" hidden="false" customHeight="true" outlineLevel="0" collapsed="false">
      <c r="A39" s="9" t="s">
        <v>143</v>
      </c>
      <c r="B39" s="9" t="s">
        <v>144</v>
      </c>
      <c r="C39" s="9" t="s">
        <v>145</v>
      </c>
      <c r="D39" s="9" t="s">
        <v>26</v>
      </c>
      <c r="E39" s="10" t="s">
        <v>9</v>
      </c>
      <c r="F39" s="10"/>
      <c r="G39" s="10"/>
      <c r="H39" s="10"/>
      <c r="I39" s="9" t="s">
        <v>28</v>
      </c>
      <c r="J39" s="10"/>
    </row>
    <row r="40" customFormat="false" ht="15" hidden="false" customHeight="true" outlineLevel="0" collapsed="false">
      <c r="A40" s="9" t="s">
        <v>146</v>
      </c>
      <c r="B40" s="9" t="s">
        <v>147</v>
      </c>
      <c r="C40" s="9" t="s">
        <v>148</v>
      </c>
      <c r="D40" s="9" t="s">
        <v>26</v>
      </c>
      <c r="E40" s="10" t="s">
        <v>9</v>
      </c>
      <c r="F40" s="10"/>
      <c r="G40" s="10"/>
      <c r="H40" s="10"/>
      <c r="I40" s="9" t="s">
        <v>28</v>
      </c>
      <c r="J40" s="10"/>
    </row>
    <row r="41" customFormat="false" ht="23.25" hidden="false" customHeight="true" outlineLevel="0" collapsed="false">
      <c r="A41" s="9" t="s">
        <v>149</v>
      </c>
      <c r="B41" s="9" t="s">
        <v>150</v>
      </c>
      <c r="C41" s="9" t="s">
        <v>151</v>
      </c>
      <c r="D41" s="9" t="s">
        <v>26</v>
      </c>
      <c r="E41" s="10" t="s">
        <v>9</v>
      </c>
      <c r="F41" s="10"/>
      <c r="G41" s="10"/>
      <c r="H41" s="10"/>
      <c r="I41" s="9" t="s">
        <v>82</v>
      </c>
      <c r="J41" s="10"/>
    </row>
    <row r="42" customFormat="false" ht="15" hidden="false" customHeight="true" outlineLevel="0" collapsed="false">
      <c r="A42" s="9" t="s">
        <v>152</v>
      </c>
      <c r="B42" s="9" t="s">
        <v>153</v>
      </c>
      <c r="C42" s="9" t="s">
        <v>154</v>
      </c>
      <c r="D42" s="9" t="s">
        <v>26</v>
      </c>
      <c r="E42" s="10" t="s">
        <v>9</v>
      </c>
      <c r="F42" s="10"/>
      <c r="G42" s="10"/>
      <c r="H42" s="10"/>
      <c r="I42" s="9" t="s">
        <v>28</v>
      </c>
      <c r="J42" s="10"/>
    </row>
    <row r="43" customFormat="false" ht="15" hidden="false" customHeight="true" outlineLevel="0" collapsed="false">
      <c r="A43" s="9" t="s">
        <v>155</v>
      </c>
      <c r="B43" s="9" t="s">
        <v>156</v>
      </c>
      <c r="C43" s="9" t="s">
        <v>157</v>
      </c>
      <c r="D43" s="9" t="s">
        <v>26</v>
      </c>
      <c r="E43" s="10" t="s">
        <v>9</v>
      </c>
      <c r="F43" s="10"/>
      <c r="G43" s="10"/>
      <c r="H43" s="10"/>
      <c r="I43" s="9" t="s">
        <v>82</v>
      </c>
      <c r="J43" s="10"/>
    </row>
    <row r="44" customFormat="false" ht="15" hidden="false" customHeight="true" outlineLevel="0" collapsed="false">
      <c r="A44" s="9" t="s">
        <v>158</v>
      </c>
      <c r="B44" s="9" t="s">
        <v>159</v>
      </c>
      <c r="C44" s="9" t="s">
        <v>160</v>
      </c>
      <c r="D44" s="9" t="s">
        <v>26</v>
      </c>
      <c r="E44" s="10" t="s">
        <v>9</v>
      </c>
      <c r="F44" s="10"/>
      <c r="G44" s="10"/>
      <c r="H44" s="10"/>
      <c r="I44" s="9" t="s">
        <v>82</v>
      </c>
      <c r="J44" s="10"/>
    </row>
    <row r="45" customFormat="false" ht="15" hidden="false" customHeight="true" outlineLevel="0" collapsed="false">
      <c r="A45" s="9" t="s">
        <v>161</v>
      </c>
      <c r="B45" s="9" t="s">
        <v>162</v>
      </c>
      <c r="C45" s="9" t="s">
        <v>163</v>
      </c>
      <c r="D45" s="9" t="s">
        <v>26</v>
      </c>
      <c r="E45" s="10" t="s">
        <v>9</v>
      </c>
      <c r="F45" s="10"/>
      <c r="G45" s="10"/>
      <c r="H45" s="10"/>
      <c r="I45" s="9" t="s">
        <v>82</v>
      </c>
      <c r="J45" s="10"/>
    </row>
    <row r="46" customFormat="false" ht="15" hidden="false" customHeight="true" outlineLevel="0" collapsed="false">
      <c r="A46" s="9" t="s">
        <v>164</v>
      </c>
      <c r="B46" s="9" t="s">
        <v>165</v>
      </c>
      <c r="C46" s="9" t="s">
        <v>166</v>
      </c>
      <c r="D46" s="9" t="s">
        <v>26</v>
      </c>
      <c r="E46" s="10" t="s">
        <v>9</v>
      </c>
      <c r="F46" s="10"/>
      <c r="G46" s="10"/>
      <c r="H46" s="10"/>
      <c r="I46" s="9" t="s">
        <v>28</v>
      </c>
      <c r="J46" s="10"/>
    </row>
    <row r="47" customFormat="false" ht="15" hidden="false" customHeight="true" outlineLevel="0" collapsed="false">
      <c r="A47" s="9" t="s">
        <v>167</v>
      </c>
      <c r="B47" s="9" t="s">
        <v>168</v>
      </c>
      <c r="C47" s="9" t="s">
        <v>169</v>
      </c>
      <c r="D47" s="9" t="s">
        <v>26</v>
      </c>
      <c r="E47" s="10" t="s">
        <v>9</v>
      </c>
      <c r="F47" s="10"/>
      <c r="G47" s="10"/>
      <c r="H47" s="10"/>
      <c r="I47" s="9" t="s">
        <v>170</v>
      </c>
      <c r="J47" s="10"/>
    </row>
    <row r="48" customFormat="false" ht="23.25" hidden="false" customHeight="true" outlineLevel="0" collapsed="false">
      <c r="A48" s="9" t="s">
        <v>171</v>
      </c>
      <c r="B48" s="9" t="s">
        <v>172</v>
      </c>
      <c r="C48" s="9" t="s">
        <v>173</v>
      </c>
      <c r="D48" s="9" t="s">
        <v>26</v>
      </c>
      <c r="E48" s="10" t="s">
        <v>9</v>
      </c>
      <c r="F48" s="10"/>
      <c r="G48" s="10"/>
      <c r="H48" s="10"/>
      <c r="I48" s="9" t="s">
        <v>82</v>
      </c>
      <c r="J48" s="10"/>
    </row>
    <row r="49" customFormat="false" ht="23.25" hidden="false" customHeight="true" outlineLevel="0" collapsed="false">
      <c r="A49" s="9" t="s">
        <v>174</v>
      </c>
      <c r="B49" s="9" t="s">
        <v>175</v>
      </c>
      <c r="C49" s="9" t="s">
        <v>176</v>
      </c>
      <c r="D49" s="9" t="s">
        <v>26</v>
      </c>
      <c r="E49" s="10" t="s">
        <v>9</v>
      </c>
      <c r="F49" s="10"/>
      <c r="G49" s="10"/>
      <c r="H49" s="10"/>
      <c r="I49" s="9" t="s">
        <v>82</v>
      </c>
      <c r="J49" s="10"/>
    </row>
    <row r="50" customFormat="false" ht="15" hidden="false" customHeight="true" outlineLevel="0" collapsed="false">
      <c r="A50" s="9" t="s">
        <v>177</v>
      </c>
      <c r="B50" s="9" t="s">
        <v>178</v>
      </c>
      <c r="C50" s="9" t="s">
        <v>179</v>
      </c>
      <c r="D50" s="9" t="s">
        <v>26</v>
      </c>
      <c r="E50" s="10" t="s">
        <v>9</v>
      </c>
      <c r="F50" s="10"/>
      <c r="G50" s="10"/>
      <c r="H50" s="10"/>
      <c r="I50" s="9" t="s">
        <v>170</v>
      </c>
      <c r="J50" s="10"/>
    </row>
    <row r="51" customFormat="false" ht="15" hidden="false" customHeight="true" outlineLevel="0" collapsed="false">
      <c r="A51" s="9" t="s">
        <v>180</v>
      </c>
      <c r="B51" s="9" t="s">
        <v>181</v>
      </c>
      <c r="C51" s="9" t="s">
        <v>182</v>
      </c>
      <c r="D51" s="9" t="s">
        <v>26</v>
      </c>
      <c r="E51" s="10" t="s">
        <v>9</v>
      </c>
      <c r="F51" s="10"/>
      <c r="G51" s="10"/>
      <c r="H51" s="10"/>
      <c r="I51" s="9" t="s">
        <v>170</v>
      </c>
      <c r="J51" s="10"/>
    </row>
    <row r="52" customFormat="false" ht="15" hidden="false" customHeight="true" outlineLevel="0" collapsed="false">
      <c r="A52" s="9" t="s">
        <v>183</v>
      </c>
      <c r="B52" s="9" t="s">
        <v>184</v>
      </c>
      <c r="C52" s="9" t="s">
        <v>185</v>
      </c>
      <c r="D52" s="9" t="s">
        <v>26</v>
      </c>
      <c r="E52" s="10" t="s">
        <v>9</v>
      </c>
      <c r="F52" s="10"/>
      <c r="G52" s="10"/>
      <c r="H52" s="10"/>
      <c r="I52" s="9" t="s">
        <v>170</v>
      </c>
      <c r="J52" s="10"/>
    </row>
    <row r="53" customFormat="false" ht="15" hidden="false" customHeight="true" outlineLevel="0" collapsed="false">
      <c r="A53" s="9" t="s">
        <v>186</v>
      </c>
      <c r="B53" s="9" t="s">
        <v>187</v>
      </c>
      <c r="C53" s="9" t="s">
        <v>188</v>
      </c>
      <c r="D53" s="9" t="s">
        <v>26</v>
      </c>
      <c r="E53" s="10" t="s">
        <v>9</v>
      </c>
      <c r="F53" s="10"/>
      <c r="G53" s="10"/>
      <c r="H53" s="10"/>
      <c r="I53" s="9" t="s">
        <v>170</v>
      </c>
      <c r="J53" s="10"/>
    </row>
    <row r="54" customFormat="false" ht="15" hidden="false" customHeight="true" outlineLevel="0" collapsed="false">
      <c r="A54" s="9" t="s">
        <v>189</v>
      </c>
      <c r="B54" s="9" t="s">
        <v>190</v>
      </c>
      <c r="C54" s="9" t="s">
        <v>191</v>
      </c>
      <c r="D54" s="9" t="s">
        <v>26</v>
      </c>
      <c r="E54" s="10" t="s">
        <v>9</v>
      </c>
      <c r="F54" s="10"/>
      <c r="G54" s="10"/>
      <c r="H54" s="10"/>
      <c r="I54" s="9" t="s">
        <v>170</v>
      </c>
      <c r="J54" s="10"/>
    </row>
    <row r="55" customFormat="false" ht="15" hidden="false" customHeight="true" outlineLevel="0" collapsed="false">
      <c r="A55" s="9" t="s">
        <v>192</v>
      </c>
      <c r="B55" s="9" t="s">
        <v>193</v>
      </c>
      <c r="C55" s="9" t="s">
        <v>194</v>
      </c>
      <c r="D55" s="9" t="s">
        <v>26</v>
      </c>
      <c r="E55" s="10" t="s">
        <v>9</v>
      </c>
      <c r="F55" s="10"/>
      <c r="G55" s="10"/>
      <c r="H55" s="10"/>
      <c r="I55" s="9" t="s">
        <v>170</v>
      </c>
      <c r="J55" s="10"/>
    </row>
    <row r="56" customFormat="false" ht="15" hidden="false" customHeight="true" outlineLevel="0" collapsed="false">
      <c r="A56" s="9" t="s">
        <v>195</v>
      </c>
      <c r="B56" s="9" t="s">
        <v>196</v>
      </c>
      <c r="C56" s="9" t="s">
        <v>197</v>
      </c>
      <c r="D56" s="9" t="s">
        <v>26</v>
      </c>
      <c r="E56" s="10" t="s">
        <v>9</v>
      </c>
      <c r="F56" s="10"/>
      <c r="G56" s="10"/>
      <c r="H56" s="10"/>
      <c r="I56" s="9" t="s">
        <v>170</v>
      </c>
      <c r="J56" s="10"/>
    </row>
    <row r="57" customFormat="false" ht="15" hidden="false" customHeight="true" outlineLevel="0" collapsed="false">
      <c r="A57" s="9" t="s">
        <v>198</v>
      </c>
      <c r="B57" s="9" t="s">
        <v>199</v>
      </c>
      <c r="C57" s="9" t="s">
        <v>200</v>
      </c>
      <c r="D57" s="9" t="s">
        <v>26</v>
      </c>
      <c r="E57" s="10" t="s">
        <v>9</v>
      </c>
      <c r="F57" s="10"/>
      <c r="G57" s="10"/>
      <c r="H57" s="10"/>
      <c r="I57" s="9" t="s">
        <v>170</v>
      </c>
      <c r="J57" s="10"/>
    </row>
    <row r="58" customFormat="false" ht="15" hidden="false" customHeight="true" outlineLevel="0" collapsed="false">
      <c r="A58" s="9" t="s">
        <v>201</v>
      </c>
      <c r="B58" s="9" t="s">
        <v>202</v>
      </c>
      <c r="C58" s="9" t="s">
        <v>203</v>
      </c>
      <c r="D58" s="9" t="s">
        <v>26</v>
      </c>
      <c r="E58" s="10" t="s">
        <v>9</v>
      </c>
      <c r="F58" s="10"/>
      <c r="G58" s="10"/>
      <c r="H58" s="10"/>
      <c r="I58" s="9" t="s">
        <v>82</v>
      </c>
      <c r="J58" s="10"/>
    </row>
    <row r="59" customFormat="false" ht="15" hidden="false" customHeight="true" outlineLevel="0" collapsed="false">
      <c r="A59" s="9" t="s">
        <v>204</v>
      </c>
      <c r="B59" s="9" t="s">
        <v>205</v>
      </c>
      <c r="C59" s="9" t="s">
        <v>206</v>
      </c>
      <c r="D59" s="9" t="s">
        <v>26</v>
      </c>
      <c r="E59" s="10" t="s">
        <v>9</v>
      </c>
      <c r="F59" s="10"/>
      <c r="G59" s="10"/>
      <c r="H59" s="10"/>
      <c r="I59" s="9" t="s">
        <v>82</v>
      </c>
      <c r="J59" s="10"/>
    </row>
    <row r="60" customFormat="false" ht="23.25" hidden="false" customHeight="true" outlineLevel="0" collapsed="false">
      <c r="A60" s="9" t="s">
        <v>207</v>
      </c>
      <c r="B60" s="9" t="s">
        <v>208</v>
      </c>
      <c r="C60" s="9" t="s">
        <v>209</v>
      </c>
      <c r="D60" s="9" t="s">
        <v>26</v>
      </c>
      <c r="E60" s="10" t="s">
        <v>9</v>
      </c>
      <c r="F60" s="10"/>
      <c r="G60" s="10"/>
      <c r="H60" s="10"/>
      <c r="I60" s="9" t="s">
        <v>28</v>
      </c>
      <c r="J60" s="10"/>
    </row>
    <row r="61" customFormat="false" ht="15" hidden="false" customHeight="true" outlineLevel="0" collapsed="false">
      <c r="A61" s="9" t="s">
        <v>210</v>
      </c>
      <c r="B61" s="9" t="s">
        <v>211</v>
      </c>
      <c r="C61" s="9" t="s">
        <v>212</v>
      </c>
      <c r="D61" s="9" t="s">
        <v>26</v>
      </c>
      <c r="E61" s="10" t="s">
        <v>9</v>
      </c>
      <c r="F61" s="10"/>
      <c r="G61" s="10"/>
      <c r="H61" s="10"/>
      <c r="I61" s="9" t="s">
        <v>82</v>
      </c>
      <c r="J61" s="10"/>
    </row>
    <row r="62" customFormat="false" ht="23.25" hidden="false" customHeight="true" outlineLevel="0" collapsed="false">
      <c r="A62" s="9" t="s">
        <v>213</v>
      </c>
      <c r="B62" s="9" t="s">
        <v>214</v>
      </c>
      <c r="C62" s="9" t="s">
        <v>215</v>
      </c>
      <c r="D62" s="9" t="s">
        <v>26</v>
      </c>
      <c r="E62" s="10" t="s">
        <v>9</v>
      </c>
      <c r="F62" s="10"/>
      <c r="G62" s="10"/>
      <c r="H62" s="10"/>
      <c r="I62" s="9" t="s">
        <v>82</v>
      </c>
      <c r="J62" s="10"/>
    </row>
    <row r="63" customFormat="false" ht="15" hidden="false" customHeight="true" outlineLevel="0" collapsed="false">
      <c r="A63" s="9" t="s">
        <v>216</v>
      </c>
      <c r="B63" s="9" t="s">
        <v>217</v>
      </c>
      <c r="C63" s="9" t="s">
        <v>218</v>
      </c>
      <c r="D63" s="9" t="s">
        <v>26</v>
      </c>
      <c r="E63" s="10" t="s">
        <v>9</v>
      </c>
      <c r="F63" s="10"/>
      <c r="G63" s="10"/>
      <c r="H63" s="10"/>
      <c r="I63" s="9" t="s">
        <v>28</v>
      </c>
      <c r="J63" s="10"/>
    </row>
    <row r="64" customFormat="false" ht="15" hidden="false" customHeight="true" outlineLevel="0" collapsed="false">
      <c r="A64" s="9" t="s">
        <v>219</v>
      </c>
      <c r="B64" s="9" t="s">
        <v>220</v>
      </c>
      <c r="C64" s="9" t="s">
        <v>221</v>
      </c>
      <c r="D64" s="9" t="s">
        <v>26</v>
      </c>
      <c r="E64" s="10" t="s">
        <v>9</v>
      </c>
      <c r="F64" s="10"/>
      <c r="G64" s="10"/>
      <c r="H64" s="10"/>
      <c r="I64" s="9" t="s">
        <v>82</v>
      </c>
      <c r="J64" s="10"/>
    </row>
    <row r="65" customFormat="false" ht="15" hidden="false" customHeight="true" outlineLevel="0" collapsed="false">
      <c r="A65" s="9" t="s">
        <v>222</v>
      </c>
      <c r="B65" s="9" t="s">
        <v>223</v>
      </c>
      <c r="C65" s="9" t="s">
        <v>224</v>
      </c>
      <c r="D65" s="9" t="s">
        <v>26</v>
      </c>
      <c r="E65" s="10" t="s">
        <v>9</v>
      </c>
      <c r="F65" s="10"/>
      <c r="G65" s="10"/>
      <c r="H65" s="10"/>
      <c r="I65" s="9" t="s">
        <v>28</v>
      </c>
      <c r="J65" s="10"/>
    </row>
    <row r="66" customFormat="false" ht="15" hidden="false" customHeight="true" outlineLevel="0" collapsed="false">
      <c r="A66" s="9" t="s">
        <v>225</v>
      </c>
      <c r="B66" s="9" t="s">
        <v>226</v>
      </c>
      <c r="C66" s="9" t="s">
        <v>227</v>
      </c>
      <c r="D66" s="9" t="s">
        <v>26</v>
      </c>
      <c r="E66" s="10" t="s">
        <v>9</v>
      </c>
      <c r="F66" s="10"/>
      <c r="G66" s="10"/>
      <c r="H66" s="10"/>
      <c r="I66" s="9" t="s">
        <v>28</v>
      </c>
      <c r="J66" s="10"/>
    </row>
    <row r="67" customFormat="false" ht="15" hidden="false" customHeight="true" outlineLevel="0" collapsed="false">
      <c r="A67" s="9" t="s">
        <v>228</v>
      </c>
      <c r="B67" s="9" t="s">
        <v>229</v>
      </c>
      <c r="C67" s="9" t="s">
        <v>230</v>
      </c>
      <c r="D67" s="9" t="s">
        <v>26</v>
      </c>
      <c r="E67" s="10" t="s">
        <v>9</v>
      </c>
      <c r="F67" s="10"/>
      <c r="G67" s="10"/>
      <c r="H67" s="10"/>
      <c r="I67" s="9" t="s">
        <v>82</v>
      </c>
      <c r="J67" s="10"/>
    </row>
    <row r="68" customFormat="false" ht="15" hidden="false" customHeight="true" outlineLevel="0" collapsed="false">
      <c r="A68" s="9" t="s">
        <v>231</v>
      </c>
      <c r="B68" s="9" t="s">
        <v>232</v>
      </c>
      <c r="C68" s="9" t="s">
        <v>233</v>
      </c>
      <c r="D68" s="9" t="s">
        <v>26</v>
      </c>
      <c r="E68" s="10" t="s">
        <v>9</v>
      </c>
      <c r="F68" s="10"/>
      <c r="G68" s="10"/>
      <c r="H68" s="10"/>
      <c r="I68" s="9" t="s">
        <v>28</v>
      </c>
      <c r="J68" s="10"/>
    </row>
    <row r="69" customFormat="false" ht="15" hidden="false" customHeight="true" outlineLevel="0" collapsed="false">
      <c r="A69" s="9" t="s">
        <v>234</v>
      </c>
      <c r="B69" s="9" t="s">
        <v>235</v>
      </c>
      <c r="C69" s="9" t="s">
        <v>236</v>
      </c>
      <c r="D69" s="9" t="s">
        <v>26</v>
      </c>
      <c r="E69" s="10" t="s">
        <v>9</v>
      </c>
      <c r="F69" s="10"/>
      <c r="G69" s="10"/>
      <c r="H69" s="10"/>
      <c r="I69" s="9" t="s">
        <v>82</v>
      </c>
      <c r="J69" s="10"/>
    </row>
    <row r="70" customFormat="false" ht="23.25" hidden="false" customHeight="true" outlineLevel="0" collapsed="false">
      <c r="A70" s="9" t="s">
        <v>237</v>
      </c>
      <c r="B70" s="9" t="s">
        <v>238</v>
      </c>
      <c r="C70" s="9" t="s">
        <v>239</v>
      </c>
      <c r="D70" s="9" t="s">
        <v>26</v>
      </c>
      <c r="E70" s="10" t="s">
        <v>9</v>
      </c>
      <c r="F70" s="10"/>
      <c r="G70" s="10"/>
      <c r="H70" s="10"/>
      <c r="I70" s="9" t="s">
        <v>28</v>
      </c>
      <c r="J70" s="10"/>
    </row>
    <row r="71" customFormat="false" ht="15" hidden="false" customHeight="true" outlineLevel="0" collapsed="false">
      <c r="A71" s="9" t="s">
        <v>240</v>
      </c>
      <c r="B71" s="9" t="s">
        <v>241</v>
      </c>
      <c r="C71" s="9" t="s">
        <v>242</v>
      </c>
      <c r="D71" s="9" t="s">
        <v>26</v>
      </c>
      <c r="E71" s="10" t="s">
        <v>9</v>
      </c>
      <c r="F71" s="10"/>
      <c r="G71" s="10"/>
      <c r="H71" s="10"/>
      <c r="I71" s="9" t="s">
        <v>28</v>
      </c>
      <c r="J71" s="10"/>
    </row>
    <row r="72" customFormat="false" ht="15" hidden="false" customHeight="true" outlineLevel="0" collapsed="false">
      <c r="A72" s="9" t="s">
        <v>243</v>
      </c>
      <c r="B72" s="9" t="s">
        <v>244</v>
      </c>
      <c r="C72" s="9" t="s">
        <v>245</v>
      </c>
      <c r="D72" s="9" t="s">
        <v>26</v>
      </c>
      <c r="E72" s="10" t="s">
        <v>9</v>
      </c>
      <c r="F72" s="10"/>
      <c r="G72" s="10"/>
      <c r="H72" s="10"/>
      <c r="I72" s="9" t="s">
        <v>28</v>
      </c>
      <c r="J72" s="10"/>
    </row>
    <row r="73" customFormat="false" ht="15" hidden="false" customHeight="true" outlineLevel="0" collapsed="false">
      <c r="A73" s="9" t="s">
        <v>246</v>
      </c>
      <c r="B73" s="9" t="s">
        <v>247</v>
      </c>
      <c r="C73" s="9" t="s">
        <v>248</v>
      </c>
      <c r="D73" s="9" t="s">
        <v>26</v>
      </c>
      <c r="E73" s="10" t="s">
        <v>9</v>
      </c>
      <c r="F73" s="10"/>
      <c r="G73" s="10"/>
      <c r="H73" s="10"/>
      <c r="I73" s="9" t="s">
        <v>28</v>
      </c>
      <c r="J73" s="10"/>
    </row>
    <row r="74" customFormat="false" ht="15" hidden="false" customHeight="true" outlineLevel="0" collapsed="false">
      <c r="A74" s="9" t="s">
        <v>249</v>
      </c>
      <c r="B74" s="9" t="s">
        <v>250</v>
      </c>
      <c r="C74" s="9" t="s">
        <v>251</v>
      </c>
      <c r="D74" s="9" t="s">
        <v>26</v>
      </c>
      <c r="E74" s="10" t="s">
        <v>9</v>
      </c>
      <c r="F74" s="10"/>
      <c r="G74" s="10"/>
      <c r="H74" s="10"/>
      <c r="I74" s="9" t="s">
        <v>28</v>
      </c>
      <c r="J74" s="10"/>
    </row>
    <row r="75" customFormat="false" ht="15" hidden="false" customHeight="true" outlineLevel="0" collapsed="false">
      <c r="A75" s="9" t="s">
        <v>252</v>
      </c>
      <c r="B75" s="9" t="s">
        <v>253</v>
      </c>
      <c r="C75" s="9" t="s">
        <v>254</v>
      </c>
      <c r="D75" s="9" t="s">
        <v>26</v>
      </c>
      <c r="E75" s="10" t="s">
        <v>7</v>
      </c>
      <c r="F75" s="10" t="s">
        <v>255</v>
      </c>
      <c r="G75" s="10" t="s">
        <v>256</v>
      </c>
      <c r="H75" s="10" t="s">
        <v>257</v>
      </c>
      <c r="I75" s="9" t="s">
        <v>28</v>
      </c>
      <c r="J75" s="10" t="s">
        <v>258</v>
      </c>
    </row>
    <row r="76" customFormat="false" ht="15" hidden="false" customHeight="true" outlineLevel="0" collapsed="false">
      <c r="A76" s="9" t="s">
        <v>259</v>
      </c>
      <c r="B76" s="9" t="s">
        <v>260</v>
      </c>
      <c r="C76" s="9" t="s">
        <v>261</v>
      </c>
      <c r="D76" s="9" t="s">
        <v>26</v>
      </c>
      <c r="E76" s="10" t="s">
        <v>9</v>
      </c>
      <c r="F76" s="10"/>
      <c r="G76" s="10"/>
      <c r="H76" s="10"/>
      <c r="I76" s="9" t="s">
        <v>28</v>
      </c>
      <c r="J76" s="10"/>
    </row>
    <row r="77" customFormat="false" ht="15" hidden="false" customHeight="true" outlineLevel="0" collapsed="false">
      <c r="A77" s="9" t="s">
        <v>262</v>
      </c>
      <c r="B77" s="9" t="s">
        <v>263</v>
      </c>
      <c r="C77" s="9" t="s">
        <v>264</v>
      </c>
      <c r="D77" s="9" t="s">
        <v>26</v>
      </c>
      <c r="E77" s="10" t="s">
        <v>9</v>
      </c>
      <c r="F77" s="10"/>
      <c r="G77" s="10"/>
      <c r="H77" s="10"/>
      <c r="I77" s="9" t="s">
        <v>28</v>
      </c>
      <c r="J77" s="10"/>
    </row>
    <row r="78" customFormat="false" ht="23.25" hidden="false" customHeight="true" outlineLevel="0" collapsed="false">
      <c r="A78" s="9" t="s">
        <v>265</v>
      </c>
      <c r="B78" s="9" t="s">
        <v>266</v>
      </c>
      <c r="C78" s="9" t="s">
        <v>267</v>
      </c>
      <c r="D78" s="9" t="s">
        <v>26</v>
      </c>
      <c r="E78" s="10" t="s">
        <v>9</v>
      </c>
      <c r="F78" s="10"/>
      <c r="G78" s="10"/>
      <c r="H78" s="10"/>
      <c r="I78" s="9" t="s">
        <v>28</v>
      </c>
      <c r="J78" s="10"/>
    </row>
    <row r="79" customFormat="false" ht="23.25" hidden="false" customHeight="true" outlineLevel="0" collapsed="false">
      <c r="A79" s="9" t="s">
        <v>268</v>
      </c>
      <c r="B79" s="9" t="s">
        <v>269</v>
      </c>
      <c r="C79" s="9" t="s">
        <v>270</v>
      </c>
      <c r="D79" s="9" t="s">
        <v>26</v>
      </c>
      <c r="E79" s="10" t="s">
        <v>9</v>
      </c>
      <c r="F79" s="10"/>
      <c r="G79" s="10"/>
      <c r="H79" s="10"/>
      <c r="I79" s="9" t="s">
        <v>28</v>
      </c>
      <c r="J79" s="10"/>
    </row>
    <row r="80" customFormat="false" ht="23.25" hidden="false" customHeight="true" outlineLevel="0" collapsed="false">
      <c r="A80" s="9" t="s">
        <v>271</v>
      </c>
      <c r="B80" s="9" t="s">
        <v>272</v>
      </c>
      <c r="C80" s="9" t="s">
        <v>273</v>
      </c>
      <c r="D80" s="9" t="s">
        <v>26</v>
      </c>
      <c r="E80" s="10" t="s">
        <v>9</v>
      </c>
      <c r="F80" s="10"/>
      <c r="G80" s="10"/>
      <c r="H80" s="10"/>
      <c r="I80" s="9" t="s">
        <v>28</v>
      </c>
      <c r="J80" s="10"/>
    </row>
    <row r="81" customFormat="false" ht="15" hidden="false" customHeight="true" outlineLevel="0" collapsed="false">
      <c r="A81" s="9" t="s">
        <v>274</v>
      </c>
      <c r="B81" s="9" t="s">
        <v>275</v>
      </c>
      <c r="C81" s="9" t="s">
        <v>276</v>
      </c>
      <c r="D81" s="9" t="s">
        <v>26</v>
      </c>
      <c r="E81" s="10" t="s">
        <v>9</v>
      </c>
      <c r="F81" s="10"/>
      <c r="G81" s="10"/>
      <c r="H81" s="10"/>
      <c r="I81" s="9" t="s">
        <v>28</v>
      </c>
      <c r="J81" s="10"/>
    </row>
    <row r="82" customFormat="false" ht="23.25" hidden="false" customHeight="true" outlineLevel="0" collapsed="false">
      <c r="A82" s="9" t="s">
        <v>277</v>
      </c>
      <c r="B82" s="9" t="s">
        <v>278</v>
      </c>
      <c r="C82" s="9" t="s">
        <v>279</v>
      </c>
      <c r="D82" s="9" t="s">
        <v>26</v>
      </c>
      <c r="E82" s="10" t="s">
        <v>9</v>
      </c>
      <c r="F82" s="10"/>
      <c r="G82" s="10"/>
      <c r="H82" s="10"/>
      <c r="I82" s="9" t="s">
        <v>28</v>
      </c>
      <c r="J82" s="10"/>
    </row>
    <row r="83" customFormat="false" ht="15" hidden="false" customHeight="true" outlineLevel="0" collapsed="false">
      <c r="A83" s="9" t="s">
        <v>280</v>
      </c>
      <c r="B83" s="9" t="s">
        <v>281</v>
      </c>
      <c r="C83" s="9" t="s">
        <v>282</v>
      </c>
      <c r="D83" s="9" t="s">
        <v>26</v>
      </c>
      <c r="E83" s="10" t="s">
        <v>9</v>
      </c>
      <c r="F83" s="10"/>
      <c r="G83" s="10"/>
      <c r="H83" s="10"/>
      <c r="I83" s="9" t="s">
        <v>28</v>
      </c>
      <c r="J83" s="10"/>
    </row>
    <row r="84" customFormat="false" ht="15" hidden="false" customHeight="true" outlineLevel="0" collapsed="false">
      <c r="A84" s="9" t="s">
        <v>283</v>
      </c>
      <c r="B84" s="9" t="s">
        <v>284</v>
      </c>
      <c r="C84" s="9" t="s">
        <v>285</v>
      </c>
      <c r="D84" s="9" t="s">
        <v>26</v>
      </c>
      <c r="E84" s="10" t="s">
        <v>9</v>
      </c>
      <c r="F84" s="10"/>
      <c r="G84" s="10"/>
      <c r="H84" s="10"/>
      <c r="I84" s="9" t="s">
        <v>28</v>
      </c>
      <c r="J84" s="10"/>
    </row>
    <row r="85" customFormat="false" ht="23.25" hidden="false" customHeight="true" outlineLevel="0" collapsed="false">
      <c r="A85" s="9" t="s">
        <v>286</v>
      </c>
      <c r="B85" s="9" t="s">
        <v>287</v>
      </c>
      <c r="C85" s="9" t="s">
        <v>288</v>
      </c>
      <c r="D85" s="9" t="s">
        <v>26</v>
      </c>
      <c r="E85" s="10" t="s">
        <v>9</v>
      </c>
      <c r="F85" s="10"/>
      <c r="G85" s="10"/>
      <c r="H85" s="10"/>
      <c r="I85" s="9" t="s">
        <v>28</v>
      </c>
      <c r="J85" s="10"/>
    </row>
    <row r="86" customFormat="false" ht="15" hidden="false" customHeight="true" outlineLevel="0" collapsed="false">
      <c r="A86" s="9" t="s">
        <v>289</v>
      </c>
      <c r="B86" s="9" t="s">
        <v>290</v>
      </c>
      <c r="C86" s="9" t="s">
        <v>291</v>
      </c>
      <c r="D86" s="9" t="s">
        <v>26</v>
      </c>
      <c r="E86" s="10" t="s">
        <v>9</v>
      </c>
      <c r="F86" s="10"/>
      <c r="G86" s="10"/>
      <c r="H86" s="10"/>
      <c r="I86" s="9" t="s">
        <v>28</v>
      </c>
      <c r="J86" s="10"/>
    </row>
    <row r="87" customFormat="false" ht="15" hidden="false" customHeight="true" outlineLevel="0" collapsed="false">
      <c r="A87" s="9" t="s">
        <v>292</v>
      </c>
      <c r="B87" s="9" t="s">
        <v>293</v>
      </c>
      <c r="C87" s="9" t="s">
        <v>294</v>
      </c>
      <c r="D87" s="9" t="s">
        <v>26</v>
      </c>
      <c r="E87" s="10" t="s">
        <v>9</v>
      </c>
      <c r="F87" s="10"/>
      <c r="G87" s="10"/>
      <c r="H87" s="10"/>
      <c r="I87" s="9" t="s">
        <v>28</v>
      </c>
      <c r="J87" s="10"/>
    </row>
    <row r="88" customFormat="false" ht="23.25" hidden="false" customHeight="true" outlineLevel="0" collapsed="false">
      <c r="A88" s="9" t="s">
        <v>295</v>
      </c>
      <c r="B88" s="9" t="s">
        <v>296</v>
      </c>
      <c r="C88" s="9" t="s">
        <v>297</v>
      </c>
      <c r="D88" s="9" t="s">
        <v>26</v>
      </c>
      <c r="E88" s="10" t="s">
        <v>9</v>
      </c>
      <c r="F88" s="10"/>
      <c r="G88" s="10"/>
      <c r="H88" s="10"/>
      <c r="I88" s="9" t="s">
        <v>28</v>
      </c>
      <c r="J88" s="10"/>
    </row>
    <row r="89" customFormat="false" ht="15" hidden="false" customHeight="true" outlineLevel="0" collapsed="false">
      <c r="A89" s="9" t="s">
        <v>298</v>
      </c>
      <c r="B89" s="9" t="s">
        <v>299</v>
      </c>
      <c r="C89" s="9" t="s">
        <v>300</v>
      </c>
      <c r="D89" s="9" t="s">
        <v>26</v>
      </c>
      <c r="E89" s="10" t="s">
        <v>9</v>
      </c>
      <c r="F89" s="10"/>
      <c r="G89" s="10"/>
      <c r="H89" s="10"/>
      <c r="I89" s="9" t="s">
        <v>28</v>
      </c>
      <c r="J89" s="10"/>
    </row>
    <row r="90" customFormat="false" ht="15" hidden="false" customHeight="true" outlineLevel="0" collapsed="false">
      <c r="A90" s="9" t="s">
        <v>301</v>
      </c>
      <c r="B90" s="9" t="s">
        <v>302</v>
      </c>
      <c r="C90" s="9" t="s">
        <v>303</v>
      </c>
      <c r="D90" s="9" t="s">
        <v>26</v>
      </c>
      <c r="E90" s="10" t="s">
        <v>9</v>
      </c>
      <c r="F90" s="10"/>
      <c r="G90" s="10"/>
      <c r="H90" s="10"/>
      <c r="I90" s="9" t="s">
        <v>28</v>
      </c>
      <c r="J90" s="10"/>
    </row>
    <row r="91" customFormat="false" ht="23.25" hidden="false" customHeight="true" outlineLevel="0" collapsed="false">
      <c r="A91" s="9" t="s">
        <v>304</v>
      </c>
      <c r="B91" s="9" t="s">
        <v>305</v>
      </c>
      <c r="C91" s="9" t="s">
        <v>306</v>
      </c>
      <c r="D91" s="9" t="s">
        <v>26</v>
      </c>
      <c r="E91" s="10" t="s">
        <v>9</v>
      </c>
      <c r="F91" s="10"/>
      <c r="G91" s="10"/>
      <c r="H91" s="10"/>
      <c r="I91" s="9" t="s">
        <v>28</v>
      </c>
      <c r="J91" s="10"/>
    </row>
    <row r="92" customFormat="false" ht="15" hidden="false" customHeight="true" outlineLevel="0" collapsed="false">
      <c r="A92" s="9" t="s">
        <v>307</v>
      </c>
      <c r="B92" s="9" t="s">
        <v>308</v>
      </c>
      <c r="C92" s="9" t="s">
        <v>309</v>
      </c>
      <c r="D92" s="9" t="s">
        <v>26</v>
      </c>
      <c r="E92" s="10" t="s">
        <v>9</v>
      </c>
      <c r="F92" s="10"/>
      <c r="G92" s="10"/>
      <c r="H92" s="10"/>
      <c r="I92" s="9" t="s">
        <v>28</v>
      </c>
      <c r="J92" s="10"/>
    </row>
    <row r="93" customFormat="false" ht="23.25" hidden="false" customHeight="true" outlineLevel="0" collapsed="false">
      <c r="A93" s="9" t="s">
        <v>310</v>
      </c>
      <c r="B93" s="9" t="s">
        <v>311</v>
      </c>
      <c r="C93" s="9" t="s">
        <v>312</v>
      </c>
      <c r="D93" s="9" t="s">
        <v>26</v>
      </c>
      <c r="E93" s="10" t="s">
        <v>8</v>
      </c>
      <c r="F93" s="10" t="s">
        <v>32</v>
      </c>
      <c r="G93" s="10" t="s">
        <v>313</v>
      </c>
      <c r="H93" s="10" t="s">
        <v>34</v>
      </c>
      <c r="I93" s="9" t="s">
        <v>28</v>
      </c>
      <c r="J93" s="10" t="s">
        <v>35</v>
      </c>
    </row>
    <row r="94" customFormat="false" ht="23.25" hidden="false" customHeight="true" outlineLevel="0" collapsed="false">
      <c r="A94" s="9" t="s">
        <v>314</v>
      </c>
      <c r="B94" s="9" t="s">
        <v>315</v>
      </c>
      <c r="C94" s="9" t="s">
        <v>316</v>
      </c>
      <c r="D94" s="9" t="s">
        <v>26</v>
      </c>
      <c r="E94" s="10" t="s">
        <v>8</v>
      </c>
      <c r="F94" s="10" t="s">
        <v>32</v>
      </c>
      <c r="G94" s="10" t="s">
        <v>317</v>
      </c>
      <c r="H94" s="10" t="s">
        <v>34</v>
      </c>
      <c r="I94" s="9" t="s">
        <v>28</v>
      </c>
      <c r="J94" s="10" t="s">
        <v>35</v>
      </c>
    </row>
    <row r="95" customFormat="false" ht="23.25" hidden="false" customHeight="true" outlineLevel="0" collapsed="false">
      <c r="A95" s="9" t="s">
        <v>318</v>
      </c>
      <c r="B95" s="9" t="s">
        <v>319</v>
      </c>
      <c r="C95" s="9" t="s">
        <v>320</v>
      </c>
      <c r="D95" s="9" t="s">
        <v>26</v>
      </c>
      <c r="E95" s="10" t="s">
        <v>8</v>
      </c>
      <c r="F95" s="10" t="s">
        <v>32</v>
      </c>
      <c r="G95" s="10" t="s">
        <v>321</v>
      </c>
      <c r="H95" s="10" t="s">
        <v>34</v>
      </c>
      <c r="I95" s="9" t="s">
        <v>28</v>
      </c>
      <c r="J95" s="10" t="s">
        <v>35</v>
      </c>
    </row>
    <row r="96" customFormat="false" ht="23.25" hidden="false" customHeight="true" outlineLevel="0" collapsed="false">
      <c r="A96" s="9" t="s">
        <v>322</v>
      </c>
      <c r="B96" s="9" t="s">
        <v>323</v>
      </c>
      <c r="C96" s="9" t="s">
        <v>324</v>
      </c>
      <c r="D96" s="9" t="s">
        <v>26</v>
      </c>
      <c r="E96" s="10" t="s">
        <v>9</v>
      </c>
      <c r="F96" s="10"/>
      <c r="G96" s="10"/>
      <c r="H96" s="10"/>
      <c r="I96" s="9" t="s">
        <v>82</v>
      </c>
      <c r="J96" s="10"/>
    </row>
    <row r="97" customFormat="false" ht="15" hidden="false" customHeight="true" outlineLevel="0" collapsed="false">
      <c r="A97" s="9" t="s">
        <v>325</v>
      </c>
      <c r="B97" s="9" t="s">
        <v>326</v>
      </c>
      <c r="C97" s="9" t="s">
        <v>327</v>
      </c>
      <c r="D97" s="9" t="s">
        <v>26</v>
      </c>
      <c r="E97" s="10" t="s">
        <v>9</v>
      </c>
      <c r="F97" s="10"/>
      <c r="G97" s="10"/>
      <c r="H97" s="10"/>
      <c r="I97" s="9" t="s">
        <v>82</v>
      </c>
      <c r="J97" s="10"/>
    </row>
    <row r="98" customFormat="false" ht="15" hidden="false" customHeight="true" outlineLevel="0" collapsed="false">
      <c r="A98" s="9" t="s">
        <v>328</v>
      </c>
      <c r="B98" s="9" t="s">
        <v>329</v>
      </c>
      <c r="C98" s="9" t="s">
        <v>330</v>
      </c>
      <c r="D98" s="9" t="s">
        <v>26</v>
      </c>
      <c r="E98" s="10" t="s">
        <v>9</v>
      </c>
      <c r="F98" s="10"/>
      <c r="G98" s="10"/>
      <c r="H98" s="10"/>
      <c r="I98" s="9" t="s">
        <v>28</v>
      </c>
      <c r="J98" s="10"/>
    </row>
    <row r="99" customFormat="false" ht="23.25" hidden="false" customHeight="true" outlineLevel="0" collapsed="false">
      <c r="A99" s="9" t="s">
        <v>331</v>
      </c>
      <c r="B99" s="9" t="s">
        <v>332</v>
      </c>
      <c r="C99" s="9" t="s">
        <v>333</v>
      </c>
      <c r="D99" s="9" t="s">
        <v>26</v>
      </c>
      <c r="E99" s="10" t="s">
        <v>8</v>
      </c>
      <c r="F99" s="10" t="s">
        <v>32</v>
      </c>
      <c r="G99" s="10" t="s">
        <v>334</v>
      </c>
      <c r="H99" s="10" t="s">
        <v>34</v>
      </c>
      <c r="I99" s="9" t="s">
        <v>28</v>
      </c>
      <c r="J99" s="10" t="s">
        <v>35</v>
      </c>
    </row>
    <row r="100" customFormat="false" ht="15" hidden="false" customHeight="true" outlineLevel="0" collapsed="false">
      <c r="A100" s="9" t="s">
        <v>335</v>
      </c>
      <c r="B100" s="9" t="s">
        <v>336</v>
      </c>
      <c r="C100" s="9" t="s">
        <v>337</v>
      </c>
      <c r="D100" s="9" t="s">
        <v>26</v>
      </c>
      <c r="E100" s="10" t="s">
        <v>9</v>
      </c>
      <c r="F100" s="10"/>
      <c r="G100" s="10"/>
      <c r="H100" s="10"/>
      <c r="I100" s="9" t="s">
        <v>28</v>
      </c>
      <c r="J100" s="10"/>
    </row>
    <row r="101" customFormat="false" ht="15" hidden="false" customHeight="true" outlineLevel="0" collapsed="false">
      <c r="A101" s="9" t="s">
        <v>338</v>
      </c>
      <c r="B101" s="9" t="s">
        <v>339</v>
      </c>
      <c r="C101" s="9" t="s">
        <v>340</v>
      </c>
      <c r="D101" s="9" t="s">
        <v>26</v>
      </c>
      <c r="E101" s="10" t="s">
        <v>9</v>
      </c>
      <c r="F101" s="10"/>
      <c r="G101" s="10"/>
      <c r="H101" s="10"/>
      <c r="I101" s="9" t="s">
        <v>28</v>
      </c>
      <c r="J101" s="10"/>
    </row>
    <row r="102" customFormat="false" ht="15" hidden="false" customHeight="true" outlineLevel="0" collapsed="false">
      <c r="A102" s="9" t="s">
        <v>341</v>
      </c>
      <c r="B102" s="9" t="s">
        <v>342</v>
      </c>
      <c r="C102" s="9" t="s">
        <v>343</v>
      </c>
      <c r="D102" s="9" t="s">
        <v>26</v>
      </c>
      <c r="E102" s="10" t="s">
        <v>9</v>
      </c>
      <c r="F102" s="10"/>
      <c r="G102" s="10"/>
      <c r="H102" s="10"/>
      <c r="I102" s="9" t="s">
        <v>28</v>
      </c>
      <c r="J102" s="10"/>
    </row>
    <row r="103" customFormat="false" ht="15" hidden="false" customHeight="true" outlineLevel="0" collapsed="false">
      <c r="A103" s="9" t="s">
        <v>344</v>
      </c>
      <c r="B103" s="9" t="s">
        <v>345</v>
      </c>
      <c r="C103" s="9" t="s">
        <v>346</v>
      </c>
      <c r="D103" s="9" t="s">
        <v>26</v>
      </c>
      <c r="E103" s="10" t="s">
        <v>7</v>
      </c>
      <c r="F103" s="10" t="s">
        <v>347</v>
      </c>
      <c r="G103" s="10" t="s">
        <v>348</v>
      </c>
      <c r="H103" s="10" t="s">
        <v>257</v>
      </c>
      <c r="I103" s="9" t="s">
        <v>82</v>
      </c>
      <c r="J103" s="10" t="s">
        <v>258</v>
      </c>
    </row>
    <row r="104" customFormat="false" ht="15" hidden="false" customHeight="true" outlineLevel="0" collapsed="false">
      <c r="A104" s="9" t="s">
        <v>349</v>
      </c>
      <c r="B104" s="9" t="s">
        <v>350</v>
      </c>
      <c r="C104" s="9" t="s">
        <v>351</v>
      </c>
      <c r="D104" s="9" t="s">
        <v>26</v>
      </c>
      <c r="E104" s="10" t="s">
        <v>9</v>
      </c>
      <c r="F104" s="10"/>
      <c r="G104" s="10"/>
      <c r="H104" s="10"/>
      <c r="I104" s="9" t="s">
        <v>82</v>
      </c>
      <c r="J104" s="10"/>
    </row>
    <row r="105" customFormat="false" ht="15" hidden="false" customHeight="true" outlineLevel="0" collapsed="false">
      <c r="A105" s="9" t="s">
        <v>352</v>
      </c>
      <c r="B105" s="9" t="s">
        <v>353</v>
      </c>
      <c r="C105" s="9" t="s">
        <v>354</v>
      </c>
      <c r="D105" s="9" t="s">
        <v>26</v>
      </c>
      <c r="E105" s="10" t="s">
        <v>9</v>
      </c>
      <c r="F105" s="10"/>
      <c r="G105" s="10"/>
      <c r="H105" s="10"/>
      <c r="I105" s="9" t="s">
        <v>82</v>
      </c>
      <c r="J105" s="10"/>
    </row>
    <row r="106" customFormat="false" ht="23.25" hidden="false" customHeight="true" outlineLevel="0" collapsed="false">
      <c r="A106" s="9" t="s">
        <v>355</v>
      </c>
      <c r="B106" s="9" t="s">
        <v>356</v>
      </c>
      <c r="C106" s="9" t="s">
        <v>357</v>
      </c>
      <c r="D106" s="9" t="s">
        <v>26</v>
      </c>
      <c r="E106" s="10" t="s">
        <v>9</v>
      </c>
      <c r="F106" s="10"/>
      <c r="G106" s="10"/>
      <c r="H106" s="10"/>
      <c r="I106" s="9" t="s">
        <v>82</v>
      </c>
      <c r="J106" s="10"/>
    </row>
    <row r="107" customFormat="false" ht="23.25" hidden="false" customHeight="true" outlineLevel="0" collapsed="false">
      <c r="A107" s="9" t="s">
        <v>358</v>
      </c>
      <c r="B107" s="9" t="s">
        <v>359</v>
      </c>
      <c r="C107" s="9" t="s">
        <v>360</v>
      </c>
      <c r="D107" s="9" t="s">
        <v>26</v>
      </c>
      <c r="E107" s="10" t="s">
        <v>9</v>
      </c>
      <c r="F107" s="10"/>
      <c r="G107" s="10"/>
      <c r="H107" s="10"/>
      <c r="I107" s="9" t="s">
        <v>82</v>
      </c>
      <c r="J107" s="10"/>
    </row>
    <row r="108" customFormat="false" ht="15" hidden="false" customHeight="true" outlineLevel="0" collapsed="false">
      <c r="A108" s="9" t="s">
        <v>361</v>
      </c>
      <c r="B108" s="9" t="s">
        <v>362</v>
      </c>
      <c r="C108" s="9" t="s">
        <v>363</v>
      </c>
      <c r="D108" s="9" t="s">
        <v>26</v>
      </c>
      <c r="E108" s="10" t="s">
        <v>9</v>
      </c>
      <c r="F108" s="10"/>
      <c r="G108" s="10"/>
      <c r="H108" s="10"/>
      <c r="I108" s="9" t="s">
        <v>82</v>
      </c>
      <c r="J108" s="10"/>
    </row>
    <row r="109" customFormat="false" ht="15" hidden="false" customHeight="true" outlineLevel="0" collapsed="false">
      <c r="A109" s="9" t="s">
        <v>364</v>
      </c>
      <c r="B109" s="9" t="s">
        <v>365</v>
      </c>
      <c r="C109" s="9" t="s">
        <v>366</v>
      </c>
      <c r="D109" s="9" t="s">
        <v>26</v>
      </c>
      <c r="E109" s="10" t="s">
        <v>7</v>
      </c>
      <c r="F109" s="10" t="s">
        <v>367</v>
      </c>
      <c r="G109" s="10" t="s">
        <v>368</v>
      </c>
      <c r="H109" s="10" t="s">
        <v>369</v>
      </c>
      <c r="I109" s="9" t="s">
        <v>82</v>
      </c>
      <c r="J109" s="10" t="s">
        <v>370</v>
      </c>
    </row>
    <row r="110" customFormat="false" ht="15" hidden="false" customHeight="true" outlineLevel="0" collapsed="false">
      <c r="A110" s="9" t="s">
        <v>371</v>
      </c>
      <c r="B110" s="9" t="s">
        <v>372</v>
      </c>
      <c r="C110" s="9" t="s">
        <v>373</v>
      </c>
      <c r="D110" s="9" t="s">
        <v>26</v>
      </c>
      <c r="E110" s="10" t="s">
        <v>7</v>
      </c>
      <c r="F110" s="10" t="s">
        <v>374</v>
      </c>
      <c r="G110" s="10" t="s">
        <v>375</v>
      </c>
      <c r="H110" s="10" t="s">
        <v>257</v>
      </c>
      <c r="I110" s="9" t="s">
        <v>170</v>
      </c>
      <c r="J110" s="10" t="s">
        <v>258</v>
      </c>
    </row>
    <row r="111" customFormat="false" ht="15" hidden="false" customHeight="true" outlineLevel="0" collapsed="false">
      <c r="A111" s="9" t="s">
        <v>376</v>
      </c>
      <c r="B111" s="9" t="s">
        <v>377</v>
      </c>
      <c r="C111" s="9" t="s">
        <v>378</v>
      </c>
      <c r="D111" s="9" t="s">
        <v>26</v>
      </c>
      <c r="E111" s="10" t="s">
        <v>9</v>
      </c>
      <c r="F111" s="10"/>
      <c r="G111" s="10"/>
      <c r="H111" s="10"/>
      <c r="I111" s="9" t="s">
        <v>28</v>
      </c>
      <c r="J111" s="10"/>
    </row>
    <row r="112" customFormat="false" ht="23.25" hidden="false" customHeight="true" outlineLevel="0" collapsed="false">
      <c r="A112" s="9" t="s">
        <v>379</v>
      </c>
      <c r="B112" s="9" t="s">
        <v>380</v>
      </c>
      <c r="C112" s="9" t="s">
        <v>381</v>
      </c>
      <c r="D112" s="9" t="s">
        <v>26</v>
      </c>
      <c r="E112" s="10" t="s">
        <v>9</v>
      </c>
      <c r="F112" s="10"/>
      <c r="G112" s="10"/>
      <c r="H112" s="10"/>
      <c r="I112" s="9" t="s">
        <v>28</v>
      </c>
      <c r="J112" s="10"/>
    </row>
    <row r="113" customFormat="false" ht="15" hidden="false" customHeight="true" outlineLevel="0" collapsed="false">
      <c r="A113" s="9" t="s">
        <v>382</v>
      </c>
      <c r="B113" s="9" t="s">
        <v>383</v>
      </c>
      <c r="C113" s="9" t="s">
        <v>384</v>
      </c>
      <c r="D113" s="9" t="s">
        <v>26</v>
      </c>
      <c r="E113" s="10" t="s">
        <v>9</v>
      </c>
      <c r="F113" s="10"/>
      <c r="G113" s="10"/>
      <c r="H113" s="10"/>
      <c r="I113" s="9" t="s">
        <v>28</v>
      </c>
      <c r="J113" s="10"/>
    </row>
    <row r="114" customFormat="false" ht="15" hidden="false" customHeight="true" outlineLevel="0" collapsed="false">
      <c r="A114" s="9" t="s">
        <v>385</v>
      </c>
      <c r="B114" s="9" t="s">
        <v>386</v>
      </c>
      <c r="C114" s="9" t="s">
        <v>387</v>
      </c>
      <c r="D114" s="9" t="s">
        <v>26</v>
      </c>
      <c r="E114" s="10" t="s">
        <v>9</v>
      </c>
      <c r="F114" s="10"/>
      <c r="G114" s="10"/>
      <c r="H114" s="10"/>
      <c r="I114" s="9" t="s">
        <v>28</v>
      </c>
      <c r="J114" s="10"/>
    </row>
    <row r="115" customFormat="false" ht="15" hidden="false" customHeight="true" outlineLevel="0" collapsed="false">
      <c r="A115" s="9" t="s">
        <v>388</v>
      </c>
      <c r="B115" s="9" t="s">
        <v>389</v>
      </c>
      <c r="C115" s="9" t="s">
        <v>390</v>
      </c>
      <c r="D115" s="9" t="s">
        <v>26</v>
      </c>
      <c r="E115" s="10" t="s">
        <v>9</v>
      </c>
      <c r="F115" s="10"/>
      <c r="G115" s="10"/>
      <c r="H115" s="10"/>
      <c r="I115" s="9" t="s">
        <v>28</v>
      </c>
      <c r="J115" s="10"/>
    </row>
    <row r="116" customFormat="false" ht="15" hidden="false" customHeight="true" outlineLevel="0" collapsed="false">
      <c r="A116" s="9" t="s">
        <v>391</v>
      </c>
      <c r="B116" s="9" t="s">
        <v>392</v>
      </c>
      <c r="C116" s="9" t="s">
        <v>393</v>
      </c>
      <c r="D116" s="9" t="s">
        <v>26</v>
      </c>
      <c r="E116" s="10" t="s">
        <v>9</v>
      </c>
      <c r="F116" s="10"/>
      <c r="G116" s="10"/>
      <c r="H116" s="10"/>
      <c r="I116" s="9" t="s">
        <v>28</v>
      </c>
      <c r="J116" s="10"/>
    </row>
    <row r="117" customFormat="false" ht="23.25" hidden="false" customHeight="true" outlineLevel="0" collapsed="false">
      <c r="A117" s="9" t="s">
        <v>394</v>
      </c>
      <c r="B117" s="9" t="s">
        <v>395</v>
      </c>
      <c r="C117" s="9" t="s">
        <v>396</v>
      </c>
      <c r="D117" s="9" t="s">
        <v>26</v>
      </c>
      <c r="E117" s="10" t="s">
        <v>9</v>
      </c>
      <c r="F117" s="10"/>
      <c r="G117" s="10"/>
      <c r="H117" s="10"/>
      <c r="I117" s="9" t="s">
        <v>28</v>
      </c>
      <c r="J117" s="10"/>
    </row>
    <row r="118" customFormat="false" ht="23.25" hidden="false" customHeight="true" outlineLevel="0" collapsed="false">
      <c r="A118" s="9" t="s">
        <v>397</v>
      </c>
      <c r="B118" s="9" t="s">
        <v>398</v>
      </c>
      <c r="C118" s="9" t="s">
        <v>399</v>
      </c>
      <c r="D118" s="9" t="s">
        <v>26</v>
      </c>
      <c r="E118" s="10" t="s">
        <v>9</v>
      </c>
      <c r="F118" s="10"/>
      <c r="G118" s="10"/>
      <c r="H118" s="10"/>
      <c r="I118" s="9" t="s">
        <v>28</v>
      </c>
      <c r="J118" s="10"/>
    </row>
  </sheetData>
  <autoFilter ref="A1:J118"/>
  <dataValidations count="2">
    <dataValidation allowBlank="false" errorStyle="stop" operator="between" showDropDown="false" showErrorMessage="false" showInputMessage="false" sqref="E2:E118" type="list">
      <formula1>"Cumple,Parcial,No cumple,No evaluado,Excluido (justificado)"</formula1>
      <formula2>0</formula2>
    </dataValidation>
    <dataValidation allowBlank="true" errorStyle="stop" operator="between" showDropDown="false" showErrorMessage="false" showInputMessage="false" sqref="H2:H118" type="list">
      <formula1>"Crítica,Alta,Media,Baja,N/A"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6" min="5" style="1" width="16"/>
    <col collapsed="false" customWidth="true" hidden="false" outlineLevel="0" max="7" min="7" style="1" width="18"/>
    <col collapsed="false" customWidth="true" hidden="false" outlineLevel="0" max="8" min="8" style="1" width="34"/>
  </cols>
  <sheetData>
    <row r="1" customFormat="false" ht="23.25" hidden="false" customHeight="true" outlineLevel="0" collapsed="false">
      <c r="A1" s="8" t="s">
        <v>400</v>
      </c>
      <c r="B1" s="8" t="s">
        <v>401</v>
      </c>
      <c r="C1" s="8" t="s">
        <v>402</v>
      </c>
      <c r="D1" s="8" t="s">
        <v>403</v>
      </c>
      <c r="E1" s="8" t="s">
        <v>404</v>
      </c>
      <c r="F1" s="8" t="s">
        <v>405</v>
      </c>
      <c r="G1" s="8" t="s">
        <v>406</v>
      </c>
      <c r="H1" s="8" t="s">
        <v>407</v>
      </c>
    </row>
    <row r="2" customFormat="false" ht="23.25" hidden="false" customHeight="true" outlineLevel="0" collapsed="false">
      <c r="A2" s="11" t="s">
        <v>408</v>
      </c>
      <c r="B2" s="11" t="s">
        <v>409</v>
      </c>
      <c r="C2" s="11" t="s">
        <v>410</v>
      </c>
      <c r="D2" s="11" t="s">
        <v>411</v>
      </c>
      <c r="E2" s="11" t="s">
        <v>412</v>
      </c>
      <c r="F2" s="11" t="s">
        <v>413</v>
      </c>
      <c r="G2" s="11" t="s">
        <v>414</v>
      </c>
      <c r="H2" s="11" t="s">
        <v>415</v>
      </c>
    </row>
    <row r="3" customFormat="false" ht="102" hidden="false" customHeight="true" outlineLevel="0" collapsed="false">
      <c r="A3" s="11" t="s">
        <v>416</v>
      </c>
      <c r="B3" s="11"/>
      <c r="C3" s="11"/>
      <c r="D3" s="11"/>
      <c r="E3" s="11"/>
      <c r="F3" s="11"/>
      <c r="G3" s="11"/>
      <c r="H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</row>
    <row r="5" customFormat="false" ht="15" hidden="false" customHeight="true" outlineLevel="0" collapsed="false">
      <c r="A5" s="12"/>
      <c r="B5" s="12"/>
      <c r="C5" s="12"/>
      <c r="D5" s="12"/>
      <c r="E5" s="12"/>
      <c r="F5" s="12"/>
      <c r="G5" s="12"/>
      <c r="H5" s="12"/>
    </row>
    <row r="6" customFormat="false" ht="15" hidden="false" customHeight="true" outlineLevel="0" collapsed="false">
      <c r="A6" s="12"/>
      <c r="B6" s="12"/>
      <c r="C6" s="12"/>
      <c r="D6" s="12"/>
      <c r="E6" s="12"/>
      <c r="F6" s="12"/>
      <c r="G6" s="12"/>
      <c r="H6" s="12"/>
    </row>
    <row r="7" customFormat="false" ht="15" hidden="false" customHeight="true" outlineLevel="0" collapsed="false">
      <c r="A7" s="12"/>
      <c r="B7" s="12"/>
      <c r="C7" s="12"/>
      <c r="D7" s="12"/>
      <c r="E7" s="12"/>
      <c r="F7" s="12"/>
      <c r="G7" s="12"/>
      <c r="H7" s="12"/>
    </row>
    <row r="8" customFormat="false" ht="15" hidden="false" customHeight="true" outlineLevel="0" collapsed="false">
      <c r="A8" s="12"/>
      <c r="B8" s="12"/>
      <c r="C8" s="12"/>
      <c r="D8" s="12"/>
      <c r="E8" s="12"/>
      <c r="F8" s="12"/>
      <c r="G8" s="12"/>
      <c r="H8" s="12"/>
    </row>
    <row r="9" customFormat="false" ht="15" hidden="false" customHeight="true" outlineLevel="0" collapsed="false">
      <c r="A9" s="12"/>
      <c r="B9" s="12"/>
      <c r="C9" s="12"/>
      <c r="D9" s="12"/>
      <c r="E9" s="12"/>
      <c r="F9" s="12"/>
      <c r="G9" s="12"/>
      <c r="H9" s="12"/>
    </row>
    <row r="10" customFormat="false" ht="15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</row>
    <row r="11" customFormat="false" ht="15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</row>
    <row r="12" customFormat="false" ht="15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</row>
    <row r="13" customFormat="false" ht="15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</row>
  </sheetData>
  <dataValidations count="1">
    <dataValidation allowBlank="false" errorStyle="stop" operator="between" showDropDown="false" showErrorMessage="false" showInputMessage="false" sqref="F2:F13" type="list">
      <formula1>"Pasa,Falla,No ejecutado"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26"/>
    <col collapsed="false" customWidth="true" hidden="false" outlineLevel="0" max="4" min="4" style="1" width="30"/>
    <col collapsed="false" customWidth="true" hidden="false" outlineLevel="0" max="5" min="5" style="1" width="34"/>
    <col collapsed="false" customWidth="true" hidden="false" outlineLevel="0" max="6" min="6" style="1" width="28"/>
    <col collapsed="false" customWidth="true" hidden="false" outlineLevel="0" max="7" min="7" style="1" width="30"/>
    <col collapsed="false" customWidth="true" hidden="false" outlineLevel="0" max="8" min="8" style="1" width="22"/>
    <col collapsed="false" customWidth="true" hidden="false" outlineLevel="0" max="9" min="9" style="1" width="28"/>
  </cols>
  <sheetData>
    <row r="1" customFormat="false" ht="23.25" hidden="false" customHeight="true" outlineLevel="0" collapsed="false">
      <c r="A1" s="8" t="s">
        <v>417</v>
      </c>
      <c r="B1" s="8" t="s">
        <v>418</v>
      </c>
      <c r="C1" s="8" t="s">
        <v>419</v>
      </c>
      <c r="D1" s="8" t="s">
        <v>420</v>
      </c>
      <c r="E1" s="8" t="s">
        <v>421</v>
      </c>
      <c r="F1" s="8" t="s">
        <v>422</v>
      </c>
      <c r="G1" s="8" t="s">
        <v>423</v>
      </c>
      <c r="H1" s="8" t="s">
        <v>424</v>
      </c>
      <c r="I1" s="8" t="s">
        <v>425</v>
      </c>
    </row>
    <row r="2" customFormat="false" ht="23.25" hidden="false" customHeight="true" outlineLevel="0" collapsed="false">
      <c r="A2" s="11" t="s">
        <v>426</v>
      </c>
      <c r="B2" s="11" t="s">
        <v>427</v>
      </c>
      <c r="C2" s="11" t="s">
        <v>428</v>
      </c>
      <c r="D2" s="11" t="s">
        <v>429</v>
      </c>
      <c r="E2" s="11" t="s">
        <v>430</v>
      </c>
      <c r="F2" s="11" t="s">
        <v>431</v>
      </c>
      <c r="G2" s="11" t="s">
        <v>432</v>
      </c>
      <c r="H2" s="11" t="s">
        <v>433</v>
      </c>
      <c r="I2" s="11" t="s">
        <v>433</v>
      </c>
    </row>
    <row r="3" customFormat="false" ht="45.75" hidden="false" customHeight="true" outlineLevel="0" collapsed="false">
      <c r="A3" s="11" t="s">
        <v>434</v>
      </c>
      <c r="B3" s="11"/>
      <c r="C3" s="11"/>
      <c r="D3" s="11"/>
      <c r="E3" s="11"/>
      <c r="F3" s="11"/>
      <c r="G3" s="11"/>
      <c r="H3" s="11"/>
      <c r="I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</row>
    <row r="5" customFormat="false" ht="15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</row>
    <row r="6" customFormat="false" ht="15" hidden="false" customHeight="true" outlineLevel="0" collapsed="false">
      <c r="A6" s="12"/>
      <c r="B6" s="12"/>
      <c r="C6" s="12"/>
      <c r="D6" s="12"/>
      <c r="E6" s="12"/>
      <c r="F6" s="12"/>
      <c r="G6" s="12"/>
      <c r="H6" s="12"/>
      <c r="I6" s="12"/>
    </row>
    <row r="7" customFormat="false" ht="15" hidden="false" customHeight="true" outlineLevel="0" collapsed="false">
      <c r="A7" s="12"/>
      <c r="B7" s="12"/>
      <c r="C7" s="12"/>
      <c r="D7" s="12"/>
      <c r="E7" s="12"/>
      <c r="F7" s="12"/>
      <c r="G7" s="12"/>
      <c r="H7" s="12"/>
      <c r="I7" s="12"/>
    </row>
    <row r="8" customFormat="false" ht="15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</row>
    <row r="9" customFormat="false" ht="15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</row>
    <row r="10" customFormat="false" ht="15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</row>
    <row r="11" customFormat="false" ht="15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</row>
    <row r="12" customFormat="false" ht="15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</row>
    <row r="13" customFormat="false" ht="15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</row>
    <row r="14" customFormat="false" ht="1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</row>
    <row r="16" customFormat="false" ht="15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</row>
    <row r="18" customFormat="false" ht="15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</row>
    <row r="19" customFormat="false" ht="15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</row>
    <row r="20" customFormat="false" ht="1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</row>
    <row r="22" customFormat="false" ht="15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7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4" t="s">
        <v>14</v>
      </c>
      <c r="B1" s="4" t="s">
        <v>435</v>
      </c>
      <c r="C1" s="4" t="s">
        <v>436</v>
      </c>
      <c r="D1" s="4" t="s">
        <v>437</v>
      </c>
    </row>
    <row r="2" customFormat="false" ht="23.25" hidden="false" customHeight="true" outlineLevel="0" collapsed="false">
      <c r="A2" s="9" t="s">
        <v>438</v>
      </c>
      <c r="B2" s="9" t="s">
        <v>439</v>
      </c>
      <c r="C2" s="9" t="s">
        <v>440</v>
      </c>
      <c r="D2" s="9" t="s">
        <v>441</v>
      </c>
    </row>
    <row r="3" customFormat="false" ht="23.25" hidden="false" customHeight="true" outlineLevel="0" collapsed="false">
      <c r="A3" s="9" t="s">
        <v>442</v>
      </c>
      <c r="B3" s="9" t="s">
        <v>443</v>
      </c>
      <c r="C3" s="9" t="s">
        <v>444</v>
      </c>
      <c r="D3" s="9" t="s">
        <v>445</v>
      </c>
    </row>
    <row r="4" customFormat="false" ht="23.25" hidden="false" customHeight="true" outlineLevel="0" collapsed="false">
      <c r="A4" s="9" t="s">
        <v>446</v>
      </c>
      <c r="B4" s="9" t="s">
        <v>447</v>
      </c>
      <c r="C4" s="9" t="s">
        <v>448</v>
      </c>
      <c r="D4" s="9" t="s">
        <v>449</v>
      </c>
    </row>
    <row r="5" customFormat="false" ht="15" hidden="false" customHeight="true" outlineLevel="0" collapsed="false">
      <c r="A5" s="9" t="s">
        <v>450</v>
      </c>
      <c r="B5" s="9" t="s">
        <v>451</v>
      </c>
      <c r="C5" s="9" t="s">
        <v>452</v>
      </c>
      <c r="D5" s="9" t="s">
        <v>453</v>
      </c>
    </row>
    <row r="6" customFormat="false" ht="23.25" hidden="false" customHeight="true" outlineLevel="0" collapsed="false">
      <c r="A6" s="9" t="s">
        <v>454</v>
      </c>
      <c r="B6" s="9" t="s">
        <v>455</v>
      </c>
      <c r="C6" s="9" t="s">
        <v>456</v>
      </c>
      <c r="D6" s="9" t="s">
        <v>457</v>
      </c>
    </row>
    <row r="7" customFormat="false" ht="23.25" hidden="false" customHeight="true" outlineLevel="0" collapsed="false">
      <c r="A7" s="9" t="s">
        <v>458</v>
      </c>
      <c r="B7" s="9" t="s">
        <v>459</v>
      </c>
      <c r="C7" s="9" t="s">
        <v>460</v>
      </c>
      <c r="D7" s="9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2026-10-07T21:42:07Z</dcterms:created>
  <dc:creator>openpyxl</dc:creator>
  <dc:description/>
  <dc:language>en-US</dc:language>
  <cp:lastModifiedBy/>
  <dcterms:modified xsi:type="dcterms:W3CDTF">2026-10-07T22:08:26Z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